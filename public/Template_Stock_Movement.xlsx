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oga S\Downloads\"/>
    </mc:Choice>
  </mc:AlternateContent>
  <xr:revisionPtr revIDLastSave="0" documentId="13_ncr:1_{3ACDC0A0-20FC-4D64-89FA-27A20BC87D05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Petunjuk" sheetId="1" r:id="rId1"/>
    <sheet name="Master Produk" sheetId="2" r:id="rId2"/>
    <sheet name="Input Movement" sheetId="3" r:id="rId3"/>
    <sheet name="Ringkasan Stok" sheetId="4" r:id="rId4"/>
    <sheet name="Contoh Data" sheetId="5" r:id="rId5"/>
  </sheets>
  <definedNames>
    <definedName name="_xlnm._FilterDatabase" localSheetId="2" hidden="1">'Input Movement'!$A$1:$K$1000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01" i="4" l="1"/>
  <c r="G101" i="4" s="1"/>
  <c r="A100" i="4"/>
  <c r="G100" i="4" s="1"/>
  <c r="A99" i="4"/>
  <c r="E99" i="4" s="1"/>
  <c r="F98" i="4"/>
  <c r="A98" i="4"/>
  <c r="G98" i="4" s="1"/>
  <c r="A97" i="4"/>
  <c r="C97" i="4" s="1"/>
  <c r="F96" i="4"/>
  <c r="D96" i="4"/>
  <c r="A96" i="4"/>
  <c r="G96" i="4" s="1"/>
  <c r="A95" i="4"/>
  <c r="G95" i="4" s="1"/>
  <c r="F94" i="4"/>
  <c r="D94" i="4"/>
  <c r="B94" i="4"/>
  <c r="A94" i="4"/>
  <c r="G94" i="4" s="1"/>
  <c r="F93" i="4"/>
  <c r="D93" i="4"/>
  <c r="B93" i="4"/>
  <c r="A93" i="4"/>
  <c r="G93" i="4" s="1"/>
  <c r="F92" i="4"/>
  <c r="D92" i="4"/>
  <c r="B92" i="4"/>
  <c r="A92" i="4"/>
  <c r="E92" i="4" s="1"/>
  <c r="G91" i="4"/>
  <c r="F91" i="4"/>
  <c r="D91" i="4"/>
  <c r="B91" i="4"/>
  <c r="A91" i="4"/>
  <c r="E91" i="4" s="1"/>
  <c r="D90" i="4"/>
  <c r="A90" i="4"/>
  <c r="C90" i="4" s="1"/>
  <c r="G89" i="4"/>
  <c r="F89" i="4"/>
  <c r="E89" i="4"/>
  <c r="D89" i="4"/>
  <c r="B89" i="4"/>
  <c r="A89" i="4"/>
  <c r="C89" i="4" s="1"/>
  <c r="B88" i="4"/>
  <c r="A88" i="4"/>
  <c r="G88" i="4" s="1"/>
  <c r="A87" i="4"/>
  <c r="G87" i="4" s="1"/>
  <c r="G86" i="4"/>
  <c r="F86" i="4"/>
  <c r="E86" i="4"/>
  <c r="D86" i="4"/>
  <c r="C86" i="4"/>
  <c r="B86" i="4"/>
  <c r="A86" i="4"/>
  <c r="G85" i="4"/>
  <c r="F85" i="4"/>
  <c r="D85" i="4"/>
  <c r="A85" i="4"/>
  <c r="E85" i="4" s="1"/>
  <c r="G84" i="4"/>
  <c r="F84" i="4"/>
  <c r="E84" i="4"/>
  <c r="A84" i="4"/>
  <c r="D84" i="4" s="1"/>
  <c r="E83" i="4"/>
  <c r="D83" i="4"/>
  <c r="B83" i="4"/>
  <c r="A83" i="4"/>
  <c r="C83" i="4" s="1"/>
  <c r="F82" i="4"/>
  <c r="E82" i="4"/>
  <c r="D82" i="4"/>
  <c r="C82" i="4"/>
  <c r="A82" i="4"/>
  <c r="G82" i="4" s="1"/>
  <c r="C81" i="4"/>
  <c r="B81" i="4"/>
  <c r="A81" i="4"/>
  <c r="G81" i="4" s="1"/>
  <c r="G80" i="4"/>
  <c r="D80" i="4"/>
  <c r="C80" i="4"/>
  <c r="B80" i="4"/>
  <c r="A80" i="4"/>
  <c r="F80" i="4" s="1"/>
  <c r="A79" i="4"/>
  <c r="G79" i="4" s="1"/>
  <c r="G78" i="4"/>
  <c r="E78" i="4"/>
  <c r="A78" i="4"/>
  <c r="F78" i="4" s="1"/>
  <c r="G77" i="4"/>
  <c r="F77" i="4"/>
  <c r="B77" i="4"/>
  <c r="A77" i="4"/>
  <c r="E77" i="4" s="1"/>
  <c r="F76" i="4"/>
  <c r="E76" i="4"/>
  <c r="D76" i="4"/>
  <c r="C76" i="4"/>
  <c r="A76" i="4"/>
  <c r="B76" i="4" s="1"/>
  <c r="G75" i="4"/>
  <c r="F75" i="4"/>
  <c r="E75" i="4"/>
  <c r="D75" i="4"/>
  <c r="B75" i="4"/>
  <c r="A75" i="4"/>
  <c r="C75" i="4" s="1"/>
  <c r="D74" i="4"/>
  <c r="A74" i="4"/>
  <c r="C74" i="4" s="1"/>
  <c r="G73" i="4"/>
  <c r="F73" i="4"/>
  <c r="E73" i="4"/>
  <c r="D73" i="4"/>
  <c r="C73" i="4"/>
  <c r="B73" i="4"/>
  <c r="A73" i="4"/>
  <c r="B72" i="4"/>
  <c r="A72" i="4"/>
  <c r="G72" i="4" s="1"/>
  <c r="A71" i="4"/>
  <c r="G71" i="4" s="1"/>
  <c r="G70" i="4"/>
  <c r="F70" i="4"/>
  <c r="E70" i="4"/>
  <c r="D70" i="4"/>
  <c r="C70" i="4"/>
  <c r="B70" i="4"/>
  <c r="A70" i="4"/>
  <c r="G69" i="4"/>
  <c r="F69" i="4"/>
  <c r="D69" i="4"/>
  <c r="A69" i="4"/>
  <c r="E69" i="4" s="1"/>
  <c r="G68" i="4"/>
  <c r="F68" i="4"/>
  <c r="E68" i="4"/>
  <c r="A68" i="4"/>
  <c r="D68" i="4" s="1"/>
  <c r="E67" i="4"/>
  <c r="D67" i="4"/>
  <c r="B67" i="4"/>
  <c r="A67" i="4"/>
  <c r="C67" i="4" s="1"/>
  <c r="F66" i="4"/>
  <c r="E66" i="4"/>
  <c r="D66" i="4"/>
  <c r="C66" i="4"/>
  <c r="A66" i="4"/>
  <c r="G66" i="4" s="1"/>
  <c r="C65" i="4"/>
  <c r="B65" i="4"/>
  <c r="A65" i="4"/>
  <c r="G65" i="4" s="1"/>
  <c r="G64" i="4"/>
  <c r="C64" i="4"/>
  <c r="B64" i="4"/>
  <c r="A64" i="4"/>
  <c r="F64" i="4" s="1"/>
  <c r="A63" i="4"/>
  <c r="G63" i="4" s="1"/>
  <c r="G62" i="4"/>
  <c r="E62" i="4"/>
  <c r="A62" i="4"/>
  <c r="F62" i="4" s="1"/>
  <c r="G61" i="4"/>
  <c r="F61" i="4"/>
  <c r="A61" i="4"/>
  <c r="E61" i="4" s="1"/>
  <c r="F60" i="4"/>
  <c r="E60" i="4"/>
  <c r="D60" i="4"/>
  <c r="C60" i="4"/>
  <c r="A60" i="4"/>
  <c r="B60" i="4" s="1"/>
  <c r="G59" i="4"/>
  <c r="F59" i="4"/>
  <c r="E59" i="4"/>
  <c r="D59" i="4"/>
  <c r="B59" i="4"/>
  <c r="A59" i="4"/>
  <c r="C59" i="4" s="1"/>
  <c r="A58" i="4"/>
  <c r="D58" i="4" s="1"/>
  <c r="G57" i="4"/>
  <c r="F57" i="4"/>
  <c r="E57" i="4"/>
  <c r="D57" i="4"/>
  <c r="C57" i="4"/>
  <c r="B57" i="4"/>
  <c r="A57" i="4"/>
  <c r="B56" i="4"/>
  <c r="A56" i="4"/>
  <c r="G56" i="4" s="1"/>
  <c r="F55" i="4"/>
  <c r="A55" i="4"/>
  <c r="G55" i="4" s="1"/>
  <c r="G54" i="4"/>
  <c r="F54" i="4"/>
  <c r="E54" i="4"/>
  <c r="D54" i="4"/>
  <c r="C54" i="4"/>
  <c r="B54" i="4"/>
  <c r="A54" i="4"/>
  <c r="G53" i="4"/>
  <c r="F53" i="4"/>
  <c r="D53" i="4"/>
  <c r="A53" i="4"/>
  <c r="E53" i="4" s="1"/>
  <c r="G52" i="4"/>
  <c r="F52" i="4"/>
  <c r="E52" i="4"/>
  <c r="C52" i="4"/>
  <c r="A52" i="4"/>
  <c r="D52" i="4" s="1"/>
  <c r="E51" i="4"/>
  <c r="D51" i="4"/>
  <c r="B51" i="4"/>
  <c r="A51" i="4"/>
  <c r="C51" i="4" s="1"/>
  <c r="F50" i="4"/>
  <c r="E50" i="4"/>
  <c r="D50" i="4"/>
  <c r="C50" i="4"/>
  <c r="A50" i="4"/>
  <c r="G50" i="4" s="1"/>
  <c r="C49" i="4"/>
  <c r="B49" i="4"/>
  <c r="A49" i="4"/>
  <c r="G49" i="4" s="1"/>
  <c r="G48" i="4"/>
  <c r="C48" i="4"/>
  <c r="B48" i="4"/>
  <c r="A48" i="4"/>
  <c r="F48" i="4" s="1"/>
  <c r="A47" i="4"/>
  <c r="G47" i="4" s="1"/>
  <c r="G46" i="4"/>
  <c r="E46" i="4"/>
  <c r="A46" i="4"/>
  <c r="F46" i="4" s="1"/>
  <c r="G45" i="4"/>
  <c r="F45" i="4"/>
  <c r="D45" i="4"/>
  <c r="B45" i="4"/>
  <c r="A45" i="4"/>
  <c r="E45" i="4" s="1"/>
  <c r="F44" i="4"/>
  <c r="E44" i="4"/>
  <c r="D44" i="4"/>
  <c r="C44" i="4"/>
  <c r="B44" i="4"/>
  <c r="A44" i="4"/>
  <c r="G44" i="4" s="1"/>
  <c r="G43" i="4"/>
  <c r="F43" i="4"/>
  <c r="E43" i="4"/>
  <c r="D43" i="4"/>
  <c r="B43" i="4"/>
  <c r="A43" i="4"/>
  <c r="C43" i="4" s="1"/>
  <c r="A42" i="4"/>
  <c r="D42" i="4" s="1"/>
  <c r="G41" i="4"/>
  <c r="F41" i="4"/>
  <c r="E41" i="4"/>
  <c r="D41" i="4"/>
  <c r="C41" i="4"/>
  <c r="B41" i="4"/>
  <c r="A41" i="4"/>
  <c r="B40" i="4"/>
  <c r="A40" i="4"/>
  <c r="G40" i="4" s="1"/>
  <c r="F39" i="4"/>
  <c r="A39" i="4"/>
  <c r="G39" i="4" s="1"/>
  <c r="G38" i="4"/>
  <c r="F38" i="4"/>
  <c r="E38" i="4"/>
  <c r="D38" i="4"/>
  <c r="C38" i="4"/>
  <c r="B38" i="4"/>
  <c r="A38" i="4"/>
  <c r="G37" i="4"/>
  <c r="F37" i="4"/>
  <c r="D37" i="4"/>
  <c r="A37" i="4"/>
  <c r="E37" i="4" s="1"/>
  <c r="G36" i="4"/>
  <c r="F36" i="4"/>
  <c r="E36" i="4"/>
  <c r="C36" i="4"/>
  <c r="A36" i="4"/>
  <c r="D36" i="4" s="1"/>
  <c r="E35" i="4"/>
  <c r="D35" i="4"/>
  <c r="B35" i="4"/>
  <c r="A35" i="4"/>
  <c r="C35" i="4" s="1"/>
  <c r="F34" i="4"/>
  <c r="E34" i="4"/>
  <c r="D34" i="4"/>
  <c r="C34" i="4"/>
  <c r="A34" i="4"/>
  <c r="G34" i="4" s="1"/>
  <c r="F33" i="4"/>
  <c r="C33" i="4"/>
  <c r="B33" i="4"/>
  <c r="A33" i="4"/>
  <c r="G33" i="4" s="1"/>
  <c r="G32" i="4"/>
  <c r="B32" i="4"/>
  <c r="A32" i="4"/>
  <c r="F32" i="4" s="1"/>
  <c r="A31" i="4"/>
  <c r="G31" i="4" s="1"/>
  <c r="G30" i="4"/>
  <c r="E30" i="4"/>
  <c r="A30" i="4"/>
  <c r="F30" i="4" s="1"/>
  <c r="G29" i="4"/>
  <c r="F29" i="4"/>
  <c r="D29" i="4"/>
  <c r="C29" i="4"/>
  <c r="B29" i="4"/>
  <c r="A29" i="4"/>
  <c r="E29" i="4" s="1"/>
  <c r="F28" i="4"/>
  <c r="E28" i="4"/>
  <c r="C28" i="4"/>
  <c r="B28" i="4"/>
  <c r="A28" i="4"/>
  <c r="D28" i="4" s="1"/>
  <c r="G27" i="4"/>
  <c r="F27" i="4"/>
  <c r="E27" i="4"/>
  <c r="D27" i="4"/>
  <c r="B27" i="4"/>
  <c r="A27" i="4"/>
  <c r="C27" i="4" s="1"/>
  <c r="A26" i="4"/>
  <c r="D26" i="4" s="1"/>
  <c r="G25" i="4"/>
  <c r="E25" i="4"/>
  <c r="D25" i="4"/>
  <c r="C25" i="4"/>
  <c r="B25" i="4"/>
  <c r="A25" i="4"/>
  <c r="F25" i="4" s="1"/>
  <c r="B24" i="4"/>
  <c r="A24" i="4"/>
  <c r="G24" i="4" s="1"/>
  <c r="F23" i="4"/>
  <c r="A23" i="4"/>
  <c r="G23" i="4" s="1"/>
  <c r="G22" i="4"/>
  <c r="F22" i="4"/>
  <c r="E22" i="4"/>
  <c r="D22" i="4"/>
  <c r="C22" i="4"/>
  <c r="B22" i="4"/>
  <c r="A22" i="4"/>
  <c r="G21" i="4"/>
  <c r="F21" i="4"/>
  <c r="D21" i="4"/>
  <c r="A21" i="4"/>
  <c r="E21" i="4" s="1"/>
  <c r="G20" i="4"/>
  <c r="F20" i="4"/>
  <c r="E20" i="4"/>
  <c r="C20" i="4"/>
  <c r="B20" i="4"/>
  <c r="A20" i="4"/>
  <c r="D20" i="4" s="1"/>
  <c r="E19" i="4"/>
  <c r="D19" i="4"/>
  <c r="B19" i="4"/>
  <c r="A19" i="4"/>
  <c r="C19" i="4" s="1"/>
  <c r="F18" i="4"/>
  <c r="E18" i="4"/>
  <c r="D18" i="4"/>
  <c r="C18" i="4"/>
  <c r="A18" i="4"/>
  <c r="G18" i="4" s="1"/>
  <c r="G17" i="4"/>
  <c r="F17" i="4"/>
  <c r="C17" i="4"/>
  <c r="B17" i="4"/>
  <c r="A17" i="4"/>
  <c r="E17" i="4" s="1"/>
  <c r="G16" i="4"/>
  <c r="C16" i="4"/>
  <c r="B16" i="4"/>
  <c r="A16" i="4"/>
  <c r="F16" i="4" s="1"/>
  <c r="A15" i="4"/>
  <c r="G15" i="4" s="1"/>
  <c r="G14" i="4"/>
  <c r="E14" i="4"/>
  <c r="A14" i="4"/>
  <c r="F14" i="4" s="1"/>
  <c r="G13" i="4"/>
  <c r="F13" i="4"/>
  <c r="D13" i="4"/>
  <c r="C13" i="4"/>
  <c r="B13" i="4"/>
  <c r="A13" i="4"/>
  <c r="E13" i="4" s="1"/>
  <c r="F12" i="4"/>
  <c r="E12" i="4"/>
  <c r="C12" i="4"/>
  <c r="A12" i="4"/>
  <c r="D12" i="4" s="1"/>
  <c r="G11" i="4"/>
  <c r="F11" i="4"/>
  <c r="E11" i="4"/>
  <c r="D11" i="4"/>
  <c r="B11" i="4"/>
  <c r="A11" i="4"/>
  <c r="C11" i="4" s="1"/>
  <c r="A10" i="4"/>
  <c r="D10" i="4" s="1"/>
  <c r="F9" i="4"/>
  <c r="E9" i="4"/>
  <c r="D9" i="4"/>
  <c r="C9" i="4"/>
  <c r="B9" i="4"/>
  <c r="A9" i="4"/>
  <c r="G9" i="4" s="1"/>
  <c r="B8" i="4"/>
  <c r="A8" i="4"/>
  <c r="G8" i="4" s="1"/>
  <c r="F7" i="4"/>
  <c r="A7" i="4"/>
  <c r="G7" i="4" s="1"/>
  <c r="G6" i="4"/>
  <c r="E6" i="4"/>
  <c r="D6" i="4"/>
  <c r="C6" i="4"/>
  <c r="A6" i="4"/>
  <c r="F6" i="4" s="1"/>
  <c r="G5" i="4"/>
  <c r="F5" i="4"/>
  <c r="D5" i="4"/>
  <c r="A5" i="4"/>
  <c r="E5" i="4" s="1"/>
  <c r="G4" i="4"/>
  <c r="F4" i="4"/>
  <c r="E4" i="4"/>
  <c r="C4" i="4"/>
  <c r="B4" i="4"/>
  <c r="A4" i="4"/>
  <c r="D4" i="4" s="1"/>
  <c r="A3" i="4"/>
  <c r="E3" i="4" s="1"/>
  <c r="A2" i="4"/>
  <c r="K1000" i="3"/>
  <c r="H1000" i="3"/>
  <c r="G1000" i="3"/>
  <c r="E1000" i="3"/>
  <c r="A1000" i="3"/>
  <c r="K999" i="3"/>
  <c r="H999" i="3"/>
  <c r="G999" i="3"/>
  <c r="E999" i="3"/>
  <c r="A999" i="3"/>
  <c r="K998" i="3"/>
  <c r="H998" i="3"/>
  <c r="G998" i="3"/>
  <c r="E998" i="3"/>
  <c r="A998" i="3"/>
  <c r="K997" i="3"/>
  <c r="H997" i="3"/>
  <c r="G997" i="3"/>
  <c r="E997" i="3"/>
  <c r="A997" i="3"/>
  <c r="K996" i="3"/>
  <c r="H996" i="3"/>
  <c r="G996" i="3"/>
  <c r="E996" i="3"/>
  <c r="A996" i="3"/>
  <c r="K995" i="3"/>
  <c r="H995" i="3"/>
  <c r="G995" i="3"/>
  <c r="E995" i="3"/>
  <c r="A995" i="3"/>
  <c r="K994" i="3"/>
  <c r="H994" i="3"/>
  <c r="G994" i="3"/>
  <c r="E994" i="3"/>
  <c r="A994" i="3"/>
  <c r="K993" i="3"/>
  <c r="H993" i="3"/>
  <c r="G993" i="3"/>
  <c r="E993" i="3"/>
  <c r="A993" i="3"/>
  <c r="K992" i="3"/>
  <c r="H992" i="3"/>
  <c r="G992" i="3"/>
  <c r="E992" i="3"/>
  <c r="A992" i="3"/>
  <c r="K991" i="3"/>
  <c r="H991" i="3"/>
  <c r="G991" i="3"/>
  <c r="E991" i="3"/>
  <c r="A991" i="3"/>
  <c r="K990" i="3"/>
  <c r="H990" i="3"/>
  <c r="G990" i="3"/>
  <c r="E990" i="3"/>
  <c r="A990" i="3"/>
  <c r="K989" i="3"/>
  <c r="H989" i="3"/>
  <c r="G989" i="3"/>
  <c r="E989" i="3"/>
  <c r="A989" i="3"/>
  <c r="K988" i="3"/>
  <c r="H988" i="3"/>
  <c r="G988" i="3"/>
  <c r="E988" i="3"/>
  <c r="A988" i="3"/>
  <c r="K987" i="3"/>
  <c r="H987" i="3"/>
  <c r="G987" i="3"/>
  <c r="E987" i="3"/>
  <c r="A987" i="3"/>
  <c r="K986" i="3"/>
  <c r="H986" i="3"/>
  <c r="G986" i="3"/>
  <c r="E986" i="3"/>
  <c r="A986" i="3"/>
  <c r="K985" i="3"/>
  <c r="H985" i="3"/>
  <c r="G985" i="3"/>
  <c r="E985" i="3"/>
  <c r="A985" i="3"/>
  <c r="K984" i="3"/>
  <c r="H984" i="3"/>
  <c r="G984" i="3"/>
  <c r="E984" i="3"/>
  <c r="A984" i="3"/>
  <c r="K983" i="3"/>
  <c r="H983" i="3"/>
  <c r="G983" i="3"/>
  <c r="E983" i="3"/>
  <c r="A983" i="3"/>
  <c r="K982" i="3"/>
  <c r="H982" i="3"/>
  <c r="G982" i="3"/>
  <c r="E982" i="3"/>
  <c r="A982" i="3"/>
  <c r="K981" i="3"/>
  <c r="H981" i="3"/>
  <c r="G981" i="3"/>
  <c r="E981" i="3"/>
  <c r="A981" i="3"/>
  <c r="K980" i="3"/>
  <c r="H980" i="3"/>
  <c r="G980" i="3"/>
  <c r="E980" i="3"/>
  <c r="A980" i="3"/>
  <c r="K979" i="3"/>
  <c r="H979" i="3"/>
  <c r="G979" i="3"/>
  <c r="E979" i="3"/>
  <c r="A979" i="3"/>
  <c r="K978" i="3"/>
  <c r="H978" i="3"/>
  <c r="G978" i="3"/>
  <c r="E978" i="3"/>
  <c r="A978" i="3"/>
  <c r="K977" i="3"/>
  <c r="H977" i="3"/>
  <c r="G977" i="3"/>
  <c r="E977" i="3"/>
  <c r="A977" i="3"/>
  <c r="K976" i="3"/>
  <c r="H976" i="3"/>
  <c r="G976" i="3"/>
  <c r="E976" i="3"/>
  <c r="A976" i="3"/>
  <c r="K975" i="3"/>
  <c r="H975" i="3"/>
  <c r="G975" i="3"/>
  <c r="E975" i="3"/>
  <c r="A975" i="3"/>
  <c r="K974" i="3"/>
  <c r="H974" i="3"/>
  <c r="G974" i="3"/>
  <c r="E974" i="3"/>
  <c r="A974" i="3"/>
  <c r="K973" i="3"/>
  <c r="H973" i="3"/>
  <c r="G973" i="3"/>
  <c r="E973" i="3"/>
  <c r="A973" i="3"/>
  <c r="K972" i="3"/>
  <c r="H972" i="3"/>
  <c r="G972" i="3"/>
  <c r="E972" i="3"/>
  <c r="A972" i="3"/>
  <c r="K971" i="3"/>
  <c r="H971" i="3"/>
  <c r="G971" i="3"/>
  <c r="E971" i="3"/>
  <c r="A971" i="3"/>
  <c r="K970" i="3"/>
  <c r="H970" i="3"/>
  <c r="G970" i="3"/>
  <c r="E970" i="3"/>
  <c r="A970" i="3"/>
  <c r="K969" i="3"/>
  <c r="H969" i="3"/>
  <c r="G969" i="3"/>
  <c r="E969" i="3"/>
  <c r="A969" i="3"/>
  <c r="K968" i="3"/>
  <c r="H968" i="3"/>
  <c r="G968" i="3"/>
  <c r="E968" i="3"/>
  <c r="A968" i="3"/>
  <c r="K967" i="3"/>
  <c r="H967" i="3"/>
  <c r="G967" i="3"/>
  <c r="E967" i="3"/>
  <c r="A967" i="3"/>
  <c r="K966" i="3"/>
  <c r="H966" i="3"/>
  <c r="G966" i="3"/>
  <c r="E966" i="3"/>
  <c r="A966" i="3"/>
  <c r="K965" i="3"/>
  <c r="H965" i="3"/>
  <c r="G965" i="3"/>
  <c r="E965" i="3"/>
  <c r="A965" i="3"/>
  <c r="K964" i="3"/>
  <c r="H964" i="3"/>
  <c r="G964" i="3"/>
  <c r="E964" i="3"/>
  <c r="A964" i="3"/>
  <c r="K963" i="3"/>
  <c r="H963" i="3"/>
  <c r="G963" i="3"/>
  <c r="E963" i="3"/>
  <c r="A963" i="3"/>
  <c r="K962" i="3"/>
  <c r="H962" i="3"/>
  <c r="G962" i="3"/>
  <c r="E962" i="3"/>
  <c r="A962" i="3"/>
  <c r="K961" i="3"/>
  <c r="H961" i="3"/>
  <c r="G961" i="3"/>
  <c r="E961" i="3"/>
  <c r="A961" i="3"/>
  <c r="K960" i="3"/>
  <c r="H960" i="3"/>
  <c r="G960" i="3"/>
  <c r="E960" i="3"/>
  <c r="A960" i="3"/>
  <c r="K959" i="3"/>
  <c r="H959" i="3"/>
  <c r="G959" i="3"/>
  <c r="E959" i="3"/>
  <c r="A959" i="3"/>
  <c r="K958" i="3"/>
  <c r="H958" i="3"/>
  <c r="G958" i="3"/>
  <c r="E958" i="3"/>
  <c r="A958" i="3"/>
  <c r="K957" i="3"/>
  <c r="H957" i="3"/>
  <c r="G957" i="3"/>
  <c r="E957" i="3"/>
  <c r="A957" i="3"/>
  <c r="K956" i="3"/>
  <c r="H956" i="3"/>
  <c r="G956" i="3"/>
  <c r="E956" i="3"/>
  <c r="A956" i="3"/>
  <c r="K955" i="3"/>
  <c r="H955" i="3"/>
  <c r="G955" i="3"/>
  <c r="E955" i="3"/>
  <c r="A955" i="3"/>
  <c r="K954" i="3"/>
  <c r="H954" i="3"/>
  <c r="G954" i="3"/>
  <c r="E954" i="3"/>
  <c r="A954" i="3"/>
  <c r="K953" i="3"/>
  <c r="H953" i="3"/>
  <c r="G953" i="3"/>
  <c r="E953" i="3"/>
  <c r="A953" i="3"/>
  <c r="K952" i="3"/>
  <c r="H952" i="3"/>
  <c r="G952" i="3"/>
  <c r="E952" i="3"/>
  <c r="A952" i="3"/>
  <c r="K951" i="3"/>
  <c r="H951" i="3"/>
  <c r="G951" i="3"/>
  <c r="E951" i="3"/>
  <c r="A951" i="3"/>
  <c r="K950" i="3"/>
  <c r="H950" i="3"/>
  <c r="G950" i="3"/>
  <c r="E950" i="3"/>
  <c r="A950" i="3"/>
  <c r="K949" i="3"/>
  <c r="H949" i="3"/>
  <c r="G949" i="3"/>
  <c r="E949" i="3"/>
  <c r="A949" i="3"/>
  <c r="K948" i="3"/>
  <c r="H948" i="3"/>
  <c r="G948" i="3"/>
  <c r="E948" i="3"/>
  <c r="A948" i="3"/>
  <c r="K947" i="3"/>
  <c r="H947" i="3"/>
  <c r="G947" i="3"/>
  <c r="E947" i="3"/>
  <c r="A947" i="3"/>
  <c r="K946" i="3"/>
  <c r="H946" i="3"/>
  <c r="G946" i="3"/>
  <c r="E946" i="3"/>
  <c r="A946" i="3"/>
  <c r="K945" i="3"/>
  <c r="H945" i="3"/>
  <c r="G945" i="3"/>
  <c r="E945" i="3"/>
  <c r="A945" i="3"/>
  <c r="K944" i="3"/>
  <c r="H944" i="3"/>
  <c r="G944" i="3"/>
  <c r="E944" i="3"/>
  <c r="A944" i="3"/>
  <c r="K943" i="3"/>
  <c r="H943" i="3"/>
  <c r="G943" i="3"/>
  <c r="E943" i="3"/>
  <c r="A943" i="3"/>
  <c r="K942" i="3"/>
  <c r="H942" i="3"/>
  <c r="G942" i="3"/>
  <c r="E942" i="3"/>
  <c r="A942" i="3"/>
  <c r="K941" i="3"/>
  <c r="H941" i="3"/>
  <c r="G941" i="3"/>
  <c r="E941" i="3"/>
  <c r="A941" i="3"/>
  <c r="K940" i="3"/>
  <c r="H940" i="3"/>
  <c r="G940" i="3"/>
  <c r="E940" i="3"/>
  <c r="A940" i="3"/>
  <c r="K939" i="3"/>
  <c r="H939" i="3"/>
  <c r="G939" i="3"/>
  <c r="E939" i="3"/>
  <c r="A939" i="3"/>
  <c r="K938" i="3"/>
  <c r="H938" i="3"/>
  <c r="G938" i="3"/>
  <c r="E938" i="3"/>
  <c r="A938" i="3"/>
  <c r="K937" i="3"/>
  <c r="H937" i="3"/>
  <c r="G937" i="3"/>
  <c r="E937" i="3"/>
  <c r="A937" i="3"/>
  <c r="K936" i="3"/>
  <c r="H936" i="3"/>
  <c r="G936" i="3"/>
  <c r="E936" i="3"/>
  <c r="A936" i="3"/>
  <c r="K935" i="3"/>
  <c r="H935" i="3"/>
  <c r="G935" i="3"/>
  <c r="E935" i="3"/>
  <c r="A935" i="3"/>
  <c r="K934" i="3"/>
  <c r="H934" i="3"/>
  <c r="G934" i="3"/>
  <c r="E934" i="3"/>
  <c r="A934" i="3"/>
  <c r="K933" i="3"/>
  <c r="H933" i="3"/>
  <c r="G933" i="3"/>
  <c r="E933" i="3"/>
  <c r="A933" i="3"/>
  <c r="K932" i="3"/>
  <c r="H932" i="3"/>
  <c r="G932" i="3"/>
  <c r="E932" i="3"/>
  <c r="A932" i="3"/>
  <c r="K931" i="3"/>
  <c r="H931" i="3"/>
  <c r="G931" i="3"/>
  <c r="E931" i="3"/>
  <c r="A931" i="3"/>
  <c r="K930" i="3"/>
  <c r="H930" i="3"/>
  <c r="G930" i="3"/>
  <c r="E930" i="3"/>
  <c r="A930" i="3"/>
  <c r="K929" i="3"/>
  <c r="H929" i="3"/>
  <c r="G929" i="3"/>
  <c r="E929" i="3"/>
  <c r="A929" i="3"/>
  <c r="K928" i="3"/>
  <c r="H928" i="3"/>
  <c r="G928" i="3"/>
  <c r="E928" i="3"/>
  <c r="A928" i="3"/>
  <c r="K927" i="3"/>
  <c r="H927" i="3"/>
  <c r="G927" i="3"/>
  <c r="E927" i="3"/>
  <c r="A927" i="3"/>
  <c r="K926" i="3"/>
  <c r="H926" i="3"/>
  <c r="G926" i="3"/>
  <c r="E926" i="3"/>
  <c r="A926" i="3"/>
  <c r="K925" i="3"/>
  <c r="H925" i="3"/>
  <c r="G925" i="3"/>
  <c r="E925" i="3"/>
  <c r="A925" i="3"/>
  <c r="K924" i="3"/>
  <c r="H924" i="3"/>
  <c r="G924" i="3"/>
  <c r="E924" i="3"/>
  <c r="A924" i="3"/>
  <c r="K923" i="3"/>
  <c r="H923" i="3"/>
  <c r="G923" i="3"/>
  <c r="E923" i="3"/>
  <c r="A923" i="3"/>
  <c r="K922" i="3"/>
  <c r="H922" i="3"/>
  <c r="G922" i="3"/>
  <c r="E922" i="3"/>
  <c r="A922" i="3"/>
  <c r="K921" i="3"/>
  <c r="H921" i="3"/>
  <c r="G921" i="3"/>
  <c r="E921" i="3"/>
  <c r="A921" i="3"/>
  <c r="K920" i="3"/>
  <c r="H920" i="3"/>
  <c r="G920" i="3"/>
  <c r="E920" i="3"/>
  <c r="A920" i="3"/>
  <c r="K919" i="3"/>
  <c r="H919" i="3"/>
  <c r="G919" i="3"/>
  <c r="E919" i="3"/>
  <c r="A919" i="3"/>
  <c r="K918" i="3"/>
  <c r="H918" i="3"/>
  <c r="G918" i="3"/>
  <c r="E918" i="3"/>
  <c r="A918" i="3"/>
  <c r="K917" i="3"/>
  <c r="H917" i="3"/>
  <c r="G917" i="3"/>
  <c r="E917" i="3"/>
  <c r="A917" i="3"/>
  <c r="K916" i="3"/>
  <c r="H916" i="3"/>
  <c r="G916" i="3"/>
  <c r="E916" i="3"/>
  <c r="A916" i="3"/>
  <c r="K915" i="3"/>
  <c r="H915" i="3"/>
  <c r="G915" i="3"/>
  <c r="E915" i="3"/>
  <c r="A915" i="3"/>
  <c r="K914" i="3"/>
  <c r="H914" i="3"/>
  <c r="G914" i="3"/>
  <c r="E914" i="3"/>
  <c r="A914" i="3"/>
  <c r="K913" i="3"/>
  <c r="H913" i="3"/>
  <c r="G913" i="3"/>
  <c r="E913" i="3"/>
  <c r="A913" i="3"/>
  <c r="K912" i="3"/>
  <c r="H912" i="3"/>
  <c r="G912" i="3"/>
  <c r="E912" i="3"/>
  <c r="A912" i="3"/>
  <c r="K911" i="3"/>
  <c r="H911" i="3"/>
  <c r="G911" i="3"/>
  <c r="E911" i="3"/>
  <c r="A911" i="3"/>
  <c r="K910" i="3"/>
  <c r="H910" i="3"/>
  <c r="G910" i="3"/>
  <c r="E910" i="3"/>
  <c r="A910" i="3"/>
  <c r="K909" i="3"/>
  <c r="H909" i="3"/>
  <c r="G909" i="3"/>
  <c r="E909" i="3"/>
  <c r="A909" i="3"/>
  <c r="K908" i="3"/>
  <c r="H908" i="3"/>
  <c r="G908" i="3"/>
  <c r="E908" i="3"/>
  <c r="A908" i="3"/>
  <c r="K907" i="3"/>
  <c r="H907" i="3"/>
  <c r="G907" i="3"/>
  <c r="E907" i="3"/>
  <c r="A907" i="3"/>
  <c r="K906" i="3"/>
  <c r="H906" i="3"/>
  <c r="G906" i="3"/>
  <c r="E906" i="3"/>
  <c r="A906" i="3"/>
  <c r="K905" i="3"/>
  <c r="H905" i="3"/>
  <c r="G905" i="3"/>
  <c r="E905" i="3"/>
  <c r="A905" i="3"/>
  <c r="K904" i="3"/>
  <c r="H904" i="3"/>
  <c r="G904" i="3"/>
  <c r="E904" i="3"/>
  <c r="A904" i="3"/>
  <c r="K903" i="3"/>
  <c r="H903" i="3"/>
  <c r="G903" i="3"/>
  <c r="E903" i="3"/>
  <c r="A903" i="3"/>
  <c r="K902" i="3"/>
  <c r="H902" i="3"/>
  <c r="G902" i="3"/>
  <c r="E902" i="3"/>
  <c r="A902" i="3"/>
  <c r="K901" i="3"/>
  <c r="H901" i="3"/>
  <c r="G901" i="3"/>
  <c r="E901" i="3"/>
  <c r="A901" i="3"/>
  <c r="K900" i="3"/>
  <c r="H900" i="3"/>
  <c r="G900" i="3"/>
  <c r="E900" i="3"/>
  <c r="A900" i="3"/>
  <c r="K899" i="3"/>
  <c r="H899" i="3"/>
  <c r="G899" i="3"/>
  <c r="E899" i="3"/>
  <c r="A899" i="3"/>
  <c r="K898" i="3"/>
  <c r="H898" i="3"/>
  <c r="G898" i="3"/>
  <c r="E898" i="3"/>
  <c r="A898" i="3"/>
  <c r="K897" i="3"/>
  <c r="H897" i="3"/>
  <c r="G897" i="3"/>
  <c r="E897" i="3"/>
  <c r="A897" i="3"/>
  <c r="K896" i="3"/>
  <c r="H896" i="3"/>
  <c r="G896" i="3"/>
  <c r="E896" i="3"/>
  <c r="A896" i="3"/>
  <c r="K895" i="3"/>
  <c r="H895" i="3"/>
  <c r="G895" i="3"/>
  <c r="E895" i="3"/>
  <c r="A895" i="3"/>
  <c r="K894" i="3"/>
  <c r="H894" i="3"/>
  <c r="G894" i="3"/>
  <c r="E894" i="3"/>
  <c r="A894" i="3"/>
  <c r="K893" i="3"/>
  <c r="H893" i="3"/>
  <c r="G893" i="3"/>
  <c r="E893" i="3"/>
  <c r="A893" i="3"/>
  <c r="K892" i="3"/>
  <c r="H892" i="3"/>
  <c r="G892" i="3"/>
  <c r="E892" i="3"/>
  <c r="A892" i="3"/>
  <c r="K891" i="3"/>
  <c r="H891" i="3"/>
  <c r="G891" i="3"/>
  <c r="E891" i="3"/>
  <c r="A891" i="3"/>
  <c r="K890" i="3"/>
  <c r="H890" i="3"/>
  <c r="G890" i="3"/>
  <c r="E890" i="3"/>
  <c r="A890" i="3"/>
  <c r="K889" i="3"/>
  <c r="H889" i="3"/>
  <c r="G889" i="3"/>
  <c r="E889" i="3"/>
  <c r="A889" i="3"/>
  <c r="K888" i="3"/>
  <c r="H888" i="3"/>
  <c r="G888" i="3"/>
  <c r="E888" i="3"/>
  <c r="A888" i="3"/>
  <c r="K887" i="3"/>
  <c r="H887" i="3"/>
  <c r="G887" i="3"/>
  <c r="E887" i="3"/>
  <c r="A887" i="3"/>
  <c r="K886" i="3"/>
  <c r="H886" i="3"/>
  <c r="G886" i="3"/>
  <c r="E886" i="3"/>
  <c r="A886" i="3"/>
  <c r="K885" i="3"/>
  <c r="H885" i="3"/>
  <c r="G885" i="3"/>
  <c r="E885" i="3"/>
  <c r="A885" i="3"/>
  <c r="K884" i="3"/>
  <c r="H884" i="3"/>
  <c r="G884" i="3"/>
  <c r="E884" i="3"/>
  <c r="A884" i="3"/>
  <c r="K883" i="3"/>
  <c r="H883" i="3"/>
  <c r="G883" i="3"/>
  <c r="E883" i="3"/>
  <c r="A883" i="3"/>
  <c r="K882" i="3"/>
  <c r="H882" i="3"/>
  <c r="G882" i="3"/>
  <c r="E882" i="3"/>
  <c r="A882" i="3"/>
  <c r="K881" i="3"/>
  <c r="H881" i="3"/>
  <c r="G881" i="3"/>
  <c r="E881" i="3"/>
  <c r="A881" i="3"/>
  <c r="K880" i="3"/>
  <c r="H880" i="3"/>
  <c r="G880" i="3"/>
  <c r="E880" i="3"/>
  <c r="A880" i="3"/>
  <c r="K879" i="3"/>
  <c r="H879" i="3"/>
  <c r="G879" i="3"/>
  <c r="E879" i="3"/>
  <c r="A879" i="3"/>
  <c r="K878" i="3"/>
  <c r="H878" i="3"/>
  <c r="G878" i="3"/>
  <c r="E878" i="3"/>
  <c r="A878" i="3"/>
  <c r="K877" i="3"/>
  <c r="H877" i="3"/>
  <c r="G877" i="3"/>
  <c r="E877" i="3"/>
  <c r="A877" i="3"/>
  <c r="K876" i="3"/>
  <c r="H876" i="3"/>
  <c r="G876" i="3"/>
  <c r="E876" i="3"/>
  <c r="A876" i="3"/>
  <c r="K875" i="3"/>
  <c r="H875" i="3"/>
  <c r="G875" i="3"/>
  <c r="E875" i="3"/>
  <c r="A875" i="3"/>
  <c r="K874" i="3"/>
  <c r="H874" i="3"/>
  <c r="G874" i="3"/>
  <c r="E874" i="3"/>
  <c r="A874" i="3"/>
  <c r="K873" i="3"/>
  <c r="H873" i="3"/>
  <c r="G873" i="3"/>
  <c r="E873" i="3"/>
  <c r="A873" i="3"/>
  <c r="K872" i="3"/>
  <c r="H872" i="3"/>
  <c r="G872" i="3"/>
  <c r="E872" i="3"/>
  <c r="A872" i="3"/>
  <c r="K871" i="3"/>
  <c r="H871" i="3"/>
  <c r="G871" i="3"/>
  <c r="E871" i="3"/>
  <c r="A871" i="3"/>
  <c r="K870" i="3"/>
  <c r="H870" i="3"/>
  <c r="G870" i="3"/>
  <c r="E870" i="3"/>
  <c r="A870" i="3"/>
  <c r="K869" i="3"/>
  <c r="H869" i="3"/>
  <c r="G869" i="3"/>
  <c r="E869" i="3"/>
  <c r="A869" i="3"/>
  <c r="K868" i="3"/>
  <c r="H868" i="3"/>
  <c r="G868" i="3"/>
  <c r="E868" i="3"/>
  <c r="A868" i="3"/>
  <c r="K867" i="3"/>
  <c r="H867" i="3"/>
  <c r="G867" i="3"/>
  <c r="E867" i="3"/>
  <c r="A867" i="3"/>
  <c r="K866" i="3"/>
  <c r="H866" i="3"/>
  <c r="G866" i="3"/>
  <c r="E866" i="3"/>
  <c r="A866" i="3"/>
  <c r="K865" i="3"/>
  <c r="H865" i="3"/>
  <c r="G865" i="3"/>
  <c r="E865" i="3"/>
  <c r="A865" i="3"/>
  <c r="K864" i="3"/>
  <c r="H864" i="3"/>
  <c r="G864" i="3"/>
  <c r="E864" i="3"/>
  <c r="A864" i="3"/>
  <c r="K863" i="3"/>
  <c r="H863" i="3"/>
  <c r="G863" i="3"/>
  <c r="E863" i="3"/>
  <c r="A863" i="3"/>
  <c r="K862" i="3"/>
  <c r="H862" i="3"/>
  <c r="G862" i="3"/>
  <c r="E862" i="3"/>
  <c r="A862" i="3"/>
  <c r="K861" i="3"/>
  <c r="H861" i="3"/>
  <c r="G861" i="3"/>
  <c r="E861" i="3"/>
  <c r="A861" i="3"/>
  <c r="K860" i="3"/>
  <c r="H860" i="3"/>
  <c r="G860" i="3"/>
  <c r="E860" i="3"/>
  <c r="A860" i="3"/>
  <c r="K859" i="3"/>
  <c r="H859" i="3"/>
  <c r="G859" i="3"/>
  <c r="E859" i="3"/>
  <c r="A859" i="3"/>
  <c r="K858" i="3"/>
  <c r="H858" i="3"/>
  <c r="G858" i="3"/>
  <c r="E858" i="3"/>
  <c r="A858" i="3"/>
  <c r="K857" i="3"/>
  <c r="H857" i="3"/>
  <c r="G857" i="3"/>
  <c r="E857" i="3"/>
  <c r="A857" i="3"/>
  <c r="K856" i="3"/>
  <c r="H856" i="3"/>
  <c r="G856" i="3"/>
  <c r="E856" i="3"/>
  <c r="A856" i="3"/>
  <c r="K855" i="3"/>
  <c r="H855" i="3"/>
  <c r="G855" i="3"/>
  <c r="E855" i="3"/>
  <c r="A855" i="3"/>
  <c r="K854" i="3"/>
  <c r="H854" i="3"/>
  <c r="G854" i="3"/>
  <c r="E854" i="3"/>
  <c r="A854" i="3"/>
  <c r="K853" i="3"/>
  <c r="H853" i="3"/>
  <c r="G853" i="3"/>
  <c r="E853" i="3"/>
  <c r="A853" i="3"/>
  <c r="K852" i="3"/>
  <c r="H852" i="3"/>
  <c r="G852" i="3"/>
  <c r="E852" i="3"/>
  <c r="A852" i="3"/>
  <c r="K851" i="3"/>
  <c r="H851" i="3"/>
  <c r="G851" i="3"/>
  <c r="E851" i="3"/>
  <c r="A851" i="3"/>
  <c r="K850" i="3"/>
  <c r="H850" i="3"/>
  <c r="G850" i="3"/>
  <c r="E850" i="3"/>
  <c r="A850" i="3"/>
  <c r="K849" i="3"/>
  <c r="H849" i="3"/>
  <c r="G849" i="3"/>
  <c r="E849" i="3"/>
  <c r="A849" i="3"/>
  <c r="K848" i="3"/>
  <c r="H848" i="3"/>
  <c r="G848" i="3"/>
  <c r="E848" i="3"/>
  <c r="A848" i="3"/>
  <c r="K847" i="3"/>
  <c r="H847" i="3"/>
  <c r="G847" i="3"/>
  <c r="E847" i="3"/>
  <c r="A847" i="3"/>
  <c r="K846" i="3"/>
  <c r="H846" i="3"/>
  <c r="G846" i="3"/>
  <c r="E846" i="3"/>
  <c r="A846" i="3"/>
  <c r="K845" i="3"/>
  <c r="H845" i="3"/>
  <c r="G845" i="3"/>
  <c r="E845" i="3"/>
  <c r="A845" i="3"/>
  <c r="K844" i="3"/>
  <c r="H844" i="3"/>
  <c r="G844" i="3"/>
  <c r="E844" i="3"/>
  <c r="A844" i="3"/>
  <c r="K843" i="3"/>
  <c r="H843" i="3"/>
  <c r="G843" i="3"/>
  <c r="E843" i="3"/>
  <c r="A843" i="3"/>
  <c r="K842" i="3"/>
  <c r="H842" i="3"/>
  <c r="G842" i="3"/>
  <c r="E842" i="3"/>
  <c r="A842" i="3"/>
  <c r="K841" i="3"/>
  <c r="H841" i="3"/>
  <c r="G841" i="3"/>
  <c r="E841" i="3"/>
  <c r="A841" i="3"/>
  <c r="K840" i="3"/>
  <c r="H840" i="3"/>
  <c r="G840" i="3"/>
  <c r="E840" i="3"/>
  <c r="A840" i="3"/>
  <c r="K839" i="3"/>
  <c r="H839" i="3"/>
  <c r="G839" i="3"/>
  <c r="E839" i="3"/>
  <c r="A839" i="3"/>
  <c r="K838" i="3"/>
  <c r="H838" i="3"/>
  <c r="G838" i="3"/>
  <c r="E838" i="3"/>
  <c r="A838" i="3"/>
  <c r="K837" i="3"/>
  <c r="H837" i="3"/>
  <c r="G837" i="3"/>
  <c r="E837" i="3"/>
  <c r="A837" i="3"/>
  <c r="K836" i="3"/>
  <c r="H836" i="3"/>
  <c r="G836" i="3"/>
  <c r="E836" i="3"/>
  <c r="A836" i="3"/>
  <c r="K835" i="3"/>
  <c r="H835" i="3"/>
  <c r="G835" i="3"/>
  <c r="E835" i="3"/>
  <c r="A835" i="3"/>
  <c r="K834" i="3"/>
  <c r="H834" i="3"/>
  <c r="G834" i="3"/>
  <c r="E834" i="3"/>
  <c r="A834" i="3"/>
  <c r="K833" i="3"/>
  <c r="H833" i="3"/>
  <c r="G833" i="3"/>
  <c r="E833" i="3"/>
  <c r="A833" i="3"/>
  <c r="K832" i="3"/>
  <c r="H832" i="3"/>
  <c r="G832" i="3"/>
  <c r="E832" i="3"/>
  <c r="A832" i="3"/>
  <c r="K831" i="3"/>
  <c r="H831" i="3"/>
  <c r="G831" i="3"/>
  <c r="E831" i="3"/>
  <c r="A831" i="3"/>
  <c r="K830" i="3"/>
  <c r="H830" i="3"/>
  <c r="G830" i="3"/>
  <c r="E830" i="3"/>
  <c r="A830" i="3"/>
  <c r="K829" i="3"/>
  <c r="H829" i="3"/>
  <c r="G829" i="3"/>
  <c r="E829" i="3"/>
  <c r="A829" i="3"/>
  <c r="K828" i="3"/>
  <c r="H828" i="3"/>
  <c r="G828" i="3"/>
  <c r="E828" i="3"/>
  <c r="A828" i="3"/>
  <c r="K827" i="3"/>
  <c r="H827" i="3"/>
  <c r="G827" i="3"/>
  <c r="E827" i="3"/>
  <c r="A827" i="3"/>
  <c r="K826" i="3"/>
  <c r="H826" i="3"/>
  <c r="G826" i="3"/>
  <c r="E826" i="3"/>
  <c r="A826" i="3"/>
  <c r="K825" i="3"/>
  <c r="H825" i="3"/>
  <c r="G825" i="3"/>
  <c r="E825" i="3"/>
  <c r="A825" i="3"/>
  <c r="K824" i="3"/>
  <c r="H824" i="3"/>
  <c r="G824" i="3"/>
  <c r="E824" i="3"/>
  <c r="A824" i="3"/>
  <c r="K823" i="3"/>
  <c r="H823" i="3"/>
  <c r="G823" i="3"/>
  <c r="E823" i="3"/>
  <c r="A823" i="3"/>
  <c r="K822" i="3"/>
  <c r="H822" i="3"/>
  <c r="G822" i="3"/>
  <c r="E822" i="3"/>
  <c r="A822" i="3"/>
  <c r="K821" i="3"/>
  <c r="H821" i="3"/>
  <c r="G821" i="3"/>
  <c r="E821" i="3"/>
  <c r="A821" i="3"/>
  <c r="K820" i="3"/>
  <c r="H820" i="3"/>
  <c r="G820" i="3"/>
  <c r="E820" i="3"/>
  <c r="A820" i="3"/>
  <c r="K819" i="3"/>
  <c r="H819" i="3"/>
  <c r="G819" i="3"/>
  <c r="E819" i="3"/>
  <c r="A819" i="3"/>
  <c r="K818" i="3"/>
  <c r="H818" i="3"/>
  <c r="G818" i="3"/>
  <c r="E818" i="3"/>
  <c r="A818" i="3"/>
  <c r="K817" i="3"/>
  <c r="H817" i="3"/>
  <c r="G817" i="3"/>
  <c r="E817" i="3"/>
  <c r="A817" i="3"/>
  <c r="K816" i="3"/>
  <c r="H816" i="3"/>
  <c r="G816" i="3"/>
  <c r="E816" i="3"/>
  <c r="A816" i="3"/>
  <c r="K815" i="3"/>
  <c r="H815" i="3"/>
  <c r="G815" i="3"/>
  <c r="E815" i="3"/>
  <c r="A815" i="3"/>
  <c r="K814" i="3"/>
  <c r="H814" i="3"/>
  <c r="G814" i="3"/>
  <c r="E814" i="3"/>
  <c r="A814" i="3"/>
  <c r="K813" i="3"/>
  <c r="H813" i="3"/>
  <c r="G813" i="3"/>
  <c r="E813" i="3"/>
  <c r="A813" i="3"/>
  <c r="K812" i="3"/>
  <c r="H812" i="3"/>
  <c r="G812" i="3"/>
  <c r="E812" i="3"/>
  <c r="A812" i="3"/>
  <c r="K811" i="3"/>
  <c r="H811" i="3"/>
  <c r="G811" i="3"/>
  <c r="E811" i="3"/>
  <c r="A811" i="3"/>
  <c r="K810" i="3"/>
  <c r="H810" i="3"/>
  <c r="G810" i="3"/>
  <c r="E810" i="3"/>
  <c r="A810" i="3"/>
  <c r="K809" i="3"/>
  <c r="H809" i="3"/>
  <c r="G809" i="3"/>
  <c r="E809" i="3"/>
  <c r="A809" i="3"/>
  <c r="K808" i="3"/>
  <c r="H808" i="3"/>
  <c r="G808" i="3"/>
  <c r="E808" i="3"/>
  <c r="A808" i="3"/>
  <c r="K807" i="3"/>
  <c r="H807" i="3"/>
  <c r="G807" i="3"/>
  <c r="E807" i="3"/>
  <c r="A807" i="3"/>
  <c r="K806" i="3"/>
  <c r="H806" i="3"/>
  <c r="G806" i="3"/>
  <c r="E806" i="3"/>
  <c r="A806" i="3"/>
  <c r="K805" i="3"/>
  <c r="H805" i="3"/>
  <c r="G805" i="3"/>
  <c r="E805" i="3"/>
  <c r="A805" i="3"/>
  <c r="K804" i="3"/>
  <c r="H804" i="3"/>
  <c r="G804" i="3"/>
  <c r="E804" i="3"/>
  <c r="A804" i="3"/>
  <c r="K803" i="3"/>
  <c r="H803" i="3"/>
  <c r="G803" i="3"/>
  <c r="E803" i="3"/>
  <c r="A803" i="3"/>
  <c r="K802" i="3"/>
  <c r="H802" i="3"/>
  <c r="G802" i="3"/>
  <c r="E802" i="3"/>
  <c r="A802" i="3"/>
  <c r="K801" i="3"/>
  <c r="H801" i="3"/>
  <c r="G801" i="3"/>
  <c r="E801" i="3"/>
  <c r="A801" i="3"/>
  <c r="K800" i="3"/>
  <c r="H800" i="3"/>
  <c r="G800" i="3"/>
  <c r="E800" i="3"/>
  <c r="A800" i="3"/>
  <c r="K799" i="3"/>
  <c r="H799" i="3"/>
  <c r="G799" i="3"/>
  <c r="E799" i="3"/>
  <c r="A799" i="3"/>
  <c r="K798" i="3"/>
  <c r="H798" i="3"/>
  <c r="G798" i="3"/>
  <c r="E798" i="3"/>
  <c r="A798" i="3"/>
  <c r="K797" i="3"/>
  <c r="H797" i="3"/>
  <c r="G797" i="3"/>
  <c r="E797" i="3"/>
  <c r="A797" i="3"/>
  <c r="K796" i="3"/>
  <c r="H796" i="3"/>
  <c r="G796" i="3"/>
  <c r="E796" i="3"/>
  <c r="A796" i="3"/>
  <c r="K795" i="3"/>
  <c r="H795" i="3"/>
  <c r="G795" i="3"/>
  <c r="E795" i="3"/>
  <c r="A795" i="3"/>
  <c r="K794" i="3"/>
  <c r="H794" i="3"/>
  <c r="G794" i="3"/>
  <c r="E794" i="3"/>
  <c r="A794" i="3"/>
  <c r="K793" i="3"/>
  <c r="H793" i="3"/>
  <c r="G793" i="3"/>
  <c r="E793" i="3"/>
  <c r="A793" i="3"/>
  <c r="K792" i="3"/>
  <c r="H792" i="3"/>
  <c r="G792" i="3"/>
  <c r="E792" i="3"/>
  <c r="A792" i="3"/>
  <c r="K791" i="3"/>
  <c r="H791" i="3"/>
  <c r="G791" i="3"/>
  <c r="E791" i="3"/>
  <c r="A791" i="3"/>
  <c r="K790" i="3"/>
  <c r="H790" i="3"/>
  <c r="G790" i="3"/>
  <c r="E790" i="3"/>
  <c r="A790" i="3"/>
  <c r="K789" i="3"/>
  <c r="H789" i="3"/>
  <c r="G789" i="3"/>
  <c r="E789" i="3"/>
  <c r="A789" i="3"/>
  <c r="K788" i="3"/>
  <c r="H788" i="3"/>
  <c r="G788" i="3"/>
  <c r="E788" i="3"/>
  <c r="A788" i="3"/>
  <c r="K787" i="3"/>
  <c r="H787" i="3"/>
  <c r="G787" i="3"/>
  <c r="E787" i="3"/>
  <c r="A787" i="3"/>
  <c r="K786" i="3"/>
  <c r="H786" i="3"/>
  <c r="G786" i="3"/>
  <c r="E786" i="3"/>
  <c r="A786" i="3"/>
  <c r="K785" i="3"/>
  <c r="H785" i="3"/>
  <c r="G785" i="3"/>
  <c r="E785" i="3"/>
  <c r="A785" i="3"/>
  <c r="K784" i="3"/>
  <c r="H784" i="3"/>
  <c r="G784" i="3"/>
  <c r="E784" i="3"/>
  <c r="A784" i="3"/>
  <c r="K783" i="3"/>
  <c r="H783" i="3"/>
  <c r="G783" i="3"/>
  <c r="E783" i="3"/>
  <c r="A783" i="3"/>
  <c r="K782" i="3"/>
  <c r="H782" i="3"/>
  <c r="G782" i="3"/>
  <c r="E782" i="3"/>
  <c r="A782" i="3"/>
  <c r="K781" i="3"/>
  <c r="H781" i="3"/>
  <c r="G781" i="3"/>
  <c r="E781" i="3"/>
  <c r="A781" i="3"/>
  <c r="K780" i="3"/>
  <c r="H780" i="3"/>
  <c r="G780" i="3"/>
  <c r="E780" i="3"/>
  <c r="A780" i="3"/>
  <c r="K779" i="3"/>
  <c r="H779" i="3"/>
  <c r="G779" i="3"/>
  <c r="E779" i="3"/>
  <c r="A779" i="3"/>
  <c r="K778" i="3"/>
  <c r="H778" i="3"/>
  <c r="G778" i="3"/>
  <c r="E778" i="3"/>
  <c r="A778" i="3"/>
  <c r="K777" i="3"/>
  <c r="H777" i="3"/>
  <c r="G777" i="3"/>
  <c r="E777" i="3"/>
  <c r="A777" i="3"/>
  <c r="K776" i="3"/>
  <c r="H776" i="3"/>
  <c r="G776" i="3"/>
  <c r="E776" i="3"/>
  <c r="A776" i="3"/>
  <c r="K775" i="3"/>
  <c r="H775" i="3"/>
  <c r="G775" i="3"/>
  <c r="E775" i="3"/>
  <c r="A775" i="3"/>
  <c r="K774" i="3"/>
  <c r="H774" i="3"/>
  <c r="G774" i="3"/>
  <c r="E774" i="3"/>
  <c r="A774" i="3"/>
  <c r="K773" i="3"/>
  <c r="H773" i="3"/>
  <c r="G773" i="3"/>
  <c r="E773" i="3"/>
  <c r="A773" i="3"/>
  <c r="K772" i="3"/>
  <c r="H772" i="3"/>
  <c r="G772" i="3"/>
  <c r="E772" i="3"/>
  <c r="A772" i="3"/>
  <c r="K771" i="3"/>
  <c r="H771" i="3"/>
  <c r="G771" i="3"/>
  <c r="E771" i="3"/>
  <c r="A771" i="3"/>
  <c r="K770" i="3"/>
  <c r="H770" i="3"/>
  <c r="G770" i="3"/>
  <c r="E770" i="3"/>
  <c r="A770" i="3"/>
  <c r="K769" i="3"/>
  <c r="H769" i="3"/>
  <c r="G769" i="3"/>
  <c r="E769" i="3"/>
  <c r="A769" i="3"/>
  <c r="K768" i="3"/>
  <c r="H768" i="3"/>
  <c r="G768" i="3"/>
  <c r="E768" i="3"/>
  <c r="A768" i="3"/>
  <c r="K767" i="3"/>
  <c r="H767" i="3"/>
  <c r="G767" i="3"/>
  <c r="E767" i="3"/>
  <c r="A767" i="3"/>
  <c r="K766" i="3"/>
  <c r="H766" i="3"/>
  <c r="G766" i="3"/>
  <c r="E766" i="3"/>
  <c r="A766" i="3"/>
  <c r="K765" i="3"/>
  <c r="H765" i="3"/>
  <c r="G765" i="3"/>
  <c r="E765" i="3"/>
  <c r="A765" i="3"/>
  <c r="K764" i="3"/>
  <c r="H764" i="3"/>
  <c r="G764" i="3"/>
  <c r="E764" i="3"/>
  <c r="A764" i="3"/>
  <c r="K763" i="3"/>
  <c r="H763" i="3"/>
  <c r="G763" i="3"/>
  <c r="E763" i="3"/>
  <c r="A763" i="3"/>
  <c r="K762" i="3"/>
  <c r="H762" i="3"/>
  <c r="G762" i="3"/>
  <c r="E762" i="3"/>
  <c r="A762" i="3"/>
  <c r="K761" i="3"/>
  <c r="H761" i="3"/>
  <c r="G761" i="3"/>
  <c r="E761" i="3"/>
  <c r="A761" i="3"/>
  <c r="K760" i="3"/>
  <c r="H760" i="3"/>
  <c r="G760" i="3"/>
  <c r="E760" i="3"/>
  <c r="A760" i="3"/>
  <c r="K759" i="3"/>
  <c r="H759" i="3"/>
  <c r="G759" i="3"/>
  <c r="E759" i="3"/>
  <c r="A759" i="3"/>
  <c r="K758" i="3"/>
  <c r="H758" i="3"/>
  <c r="G758" i="3"/>
  <c r="E758" i="3"/>
  <c r="A758" i="3"/>
  <c r="K757" i="3"/>
  <c r="H757" i="3"/>
  <c r="G757" i="3"/>
  <c r="E757" i="3"/>
  <c r="A757" i="3"/>
  <c r="K756" i="3"/>
  <c r="H756" i="3"/>
  <c r="G756" i="3"/>
  <c r="E756" i="3"/>
  <c r="A756" i="3"/>
  <c r="K755" i="3"/>
  <c r="H755" i="3"/>
  <c r="G755" i="3"/>
  <c r="E755" i="3"/>
  <c r="A755" i="3"/>
  <c r="K754" i="3"/>
  <c r="H754" i="3"/>
  <c r="G754" i="3"/>
  <c r="E754" i="3"/>
  <c r="A754" i="3"/>
  <c r="K753" i="3"/>
  <c r="H753" i="3"/>
  <c r="G753" i="3"/>
  <c r="E753" i="3"/>
  <c r="A753" i="3"/>
  <c r="K752" i="3"/>
  <c r="H752" i="3"/>
  <c r="G752" i="3"/>
  <c r="E752" i="3"/>
  <c r="A752" i="3"/>
  <c r="K751" i="3"/>
  <c r="H751" i="3"/>
  <c r="G751" i="3"/>
  <c r="E751" i="3"/>
  <c r="A751" i="3"/>
  <c r="K750" i="3"/>
  <c r="H750" i="3"/>
  <c r="G750" i="3"/>
  <c r="E750" i="3"/>
  <c r="A750" i="3"/>
  <c r="K749" i="3"/>
  <c r="H749" i="3"/>
  <c r="G749" i="3"/>
  <c r="E749" i="3"/>
  <c r="A749" i="3"/>
  <c r="K748" i="3"/>
  <c r="H748" i="3"/>
  <c r="G748" i="3"/>
  <c r="E748" i="3"/>
  <c r="A748" i="3"/>
  <c r="K747" i="3"/>
  <c r="H747" i="3"/>
  <c r="G747" i="3"/>
  <c r="E747" i="3"/>
  <c r="A747" i="3"/>
  <c r="K746" i="3"/>
  <c r="H746" i="3"/>
  <c r="G746" i="3"/>
  <c r="E746" i="3"/>
  <c r="A746" i="3"/>
  <c r="K745" i="3"/>
  <c r="H745" i="3"/>
  <c r="G745" i="3"/>
  <c r="E745" i="3"/>
  <c r="A745" i="3"/>
  <c r="K744" i="3"/>
  <c r="H744" i="3"/>
  <c r="G744" i="3"/>
  <c r="E744" i="3"/>
  <c r="A744" i="3"/>
  <c r="K743" i="3"/>
  <c r="H743" i="3"/>
  <c r="G743" i="3"/>
  <c r="E743" i="3"/>
  <c r="A743" i="3"/>
  <c r="K742" i="3"/>
  <c r="H742" i="3"/>
  <c r="G742" i="3"/>
  <c r="E742" i="3"/>
  <c r="A742" i="3"/>
  <c r="K741" i="3"/>
  <c r="H741" i="3"/>
  <c r="G741" i="3"/>
  <c r="E741" i="3"/>
  <c r="A741" i="3"/>
  <c r="K740" i="3"/>
  <c r="H740" i="3"/>
  <c r="G740" i="3"/>
  <c r="E740" i="3"/>
  <c r="A740" i="3"/>
  <c r="K739" i="3"/>
  <c r="H739" i="3"/>
  <c r="G739" i="3"/>
  <c r="E739" i="3"/>
  <c r="A739" i="3"/>
  <c r="K738" i="3"/>
  <c r="H738" i="3"/>
  <c r="G738" i="3"/>
  <c r="E738" i="3"/>
  <c r="A738" i="3"/>
  <c r="K737" i="3"/>
  <c r="H737" i="3"/>
  <c r="G737" i="3"/>
  <c r="E737" i="3"/>
  <c r="A737" i="3"/>
  <c r="K736" i="3"/>
  <c r="H736" i="3"/>
  <c r="G736" i="3"/>
  <c r="E736" i="3"/>
  <c r="A736" i="3"/>
  <c r="K735" i="3"/>
  <c r="H735" i="3"/>
  <c r="G735" i="3"/>
  <c r="E735" i="3"/>
  <c r="A735" i="3"/>
  <c r="K734" i="3"/>
  <c r="H734" i="3"/>
  <c r="G734" i="3"/>
  <c r="E734" i="3"/>
  <c r="A734" i="3"/>
  <c r="K733" i="3"/>
  <c r="H733" i="3"/>
  <c r="G733" i="3"/>
  <c r="E733" i="3"/>
  <c r="A733" i="3"/>
  <c r="K732" i="3"/>
  <c r="H732" i="3"/>
  <c r="G732" i="3"/>
  <c r="E732" i="3"/>
  <c r="A732" i="3"/>
  <c r="K731" i="3"/>
  <c r="H731" i="3"/>
  <c r="G731" i="3"/>
  <c r="E731" i="3"/>
  <c r="A731" i="3"/>
  <c r="K730" i="3"/>
  <c r="H730" i="3"/>
  <c r="G730" i="3"/>
  <c r="E730" i="3"/>
  <c r="A730" i="3"/>
  <c r="K729" i="3"/>
  <c r="H729" i="3"/>
  <c r="G729" i="3"/>
  <c r="E729" i="3"/>
  <c r="A729" i="3"/>
  <c r="K728" i="3"/>
  <c r="H728" i="3"/>
  <c r="G728" i="3"/>
  <c r="E728" i="3"/>
  <c r="A728" i="3"/>
  <c r="K727" i="3"/>
  <c r="H727" i="3"/>
  <c r="G727" i="3"/>
  <c r="E727" i="3"/>
  <c r="A727" i="3"/>
  <c r="K726" i="3"/>
  <c r="H726" i="3"/>
  <c r="G726" i="3"/>
  <c r="E726" i="3"/>
  <c r="A726" i="3"/>
  <c r="K725" i="3"/>
  <c r="H725" i="3"/>
  <c r="G725" i="3"/>
  <c r="E725" i="3"/>
  <c r="A725" i="3"/>
  <c r="K724" i="3"/>
  <c r="H724" i="3"/>
  <c r="G724" i="3"/>
  <c r="E724" i="3"/>
  <c r="A724" i="3"/>
  <c r="K723" i="3"/>
  <c r="H723" i="3"/>
  <c r="G723" i="3"/>
  <c r="E723" i="3"/>
  <c r="A723" i="3"/>
  <c r="K722" i="3"/>
  <c r="H722" i="3"/>
  <c r="G722" i="3"/>
  <c r="E722" i="3"/>
  <c r="A722" i="3"/>
  <c r="K721" i="3"/>
  <c r="H721" i="3"/>
  <c r="G721" i="3"/>
  <c r="E721" i="3"/>
  <c r="A721" i="3"/>
  <c r="K720" i="3"/>
  <c r="H720" i="3"/>
  <c r="G720" i="3"/>
  <c r="E720" i="3"/>
  <c r="A720" i="3"/>
  <c r="K719" i="3"/>
  <c r="H719" i="3"/>
  <c r="G719" i="3"/>
  <c r="E719" i="3"/>
  <c r="A719" i="3"/>
  <c r="K718" i="3"/>
  <c r="H718" i="3"/>
  <c r="G718" i="3"/>
  <c r="E718" i="3"/>
  <c r="A718" i="3"/>
  <c r="K717" i="3"/>
  <c r="H717" i="3"/>
  <c r="G717" i="3"/>
  <c r="E717" i="3"/>
  <c r="A717" i="3"/>
  <c r="K716" i="3"/>
  <c r="H716" i="3"/>
  <c r="G716" i="3"/>
  <c r="E716" i="3"/>
  <c r="A716" i="3"/>
  <c r="K715" i="3"/>
  <c r="H715" i="3"/>
  <c r="G715" i="3"/>
  <c r="E715" i="3"/>
  <c r="A715" i="3"/>
  <c r="K714" i="3"/>
  <c r="H714" i="3"/>
  <c r="G714" i="3"/>
  <c r="E714" i="3"/>
  <c r="A714" i="3"/>
  <c r="K713" i="3"/>
  <c r="H713" i="3"/>
  <c r="G713" i="3"/>
  <c r="E713" i="3"/>
  <c r="A713" i="3"/>
  <c r="K712" i="3"/>
  <c r="H712" i="3"/>
  <c r="G712" i="3"/>
  <c r="E712" i="3"/>
  <c r="A712" i="3"/>
  <c r="K711" i="3"/>
  <c r="H711" i="3"/>
  <c r="G711" i="3"/>
  <c r="E711" i="3"/>
  <c r="A711" i="3"/>
  <c r="K710" i="3"/>
  <c r="H710" i="3"/>
  <c r="G710" i="3"/>
  <c r="E710" i="3"/>
  <c r="A710" i="3"/>
  <c r="K709" i="3"/>
  <c r="H709" i="3"/>
  <c r="G709" i="3"/>
  <c r="E709" i="3"/>
  <c r="A709" i="3"/>
  <c r="K708" i="3"/>
  <c r="H708" i="3"/>
  <c r="G708" i="3"/>
  <c r="E708" i="3"/>
  <c r="A708" i="3"/>
  <c r="K707" i="3"/>
  <c r="H707" i="3"/>
  <c r="G707" i="3"/>
  <c r="E707" i="3"/>
  <c r="A707" i="3"/>
  <c r="K706" i="3"/>
  <c r="H706" i="3"/>
  <c r="G706" i="3"/>
  <c r="E706" i="3"/>
  <c r="A706" i="3"/>
  <c r="K705" i="3"/>
  <c r="H705" i="3"/>
  <c r="G705" i="3"/>
  <c r="E705" i="3"/>
  <c r="A705" i="3"/>
  <c r="K704" i="3"/>
  <c r="H704" i="3"/>
  <c r="G704" i="3"/>
  <c r="E704" i="3"/>
  <c r="A704" i="3"/>
  <c r="K703" i="3"/>
  <c r="H703" i="3"/>
  <c r="G703" i="3"/>
  <c r="E703" i="3"/>
  <c r="A703" i="3"/>
  <c r="K702" i="3"/>
  <c r="H702" i="3"/>
  <c r="G702" i="3"/>
  <c r="E702" i="3"/>
  <c r="A702" i="3"/>
  <c r="K701" i="3"/>
  <c r="H701" i="3"/>
  <c r="G701" i="3"/>
  <c r="E701" i="3"/>
  <c r="A701" i="3"/>
  <c r="K700" i="3"/>
  <c r="H700" i="3"/>
  <c r="G700" i="3"/>
  <c r="E700" i="3"/>
  <c r="A700" i="3"/>
  <c r="K699" i="3"/>
  <c r="H699" i="3"/>
  <c r="G699" i="3"/>
  <c r="E699" i="3"/>
  <c r="A699" i="3"/>
  <c r="K698" i="3"/>
  <c r="H698" i="3"/>
  <c r="G698" i="3"/>
  <c r="E698" i="3"/>
  <c r="A698" i="3"/>
  <c r="K697" i="3"/>
  <c r="H697" i="3"/>
  <c r="G697" i="3"/>
  <c r="E697" i="3"/>
  <c r="A697" i="3"/>
  <c r="K696" i="3"/>
  <c r="H696" i="3"/>
  <c r="G696" i="3"/>
  <c r="E696" i="3"/>
  <c r="A696" i="3"/>
  <c r="K695" i="3"/>
  <c r="H695" i="3"/>
  <c r="G695" i="3"/>
  <c r="E695" i="3"/>
  <c r="A695" i="3"/>
  <c r="K694" i="3"/>
  <c r="H694" i="3"/>
  <c r="G694" i="3"/>
  <c r="E694" i="3"/>
  <c r="A694" i="3"/>
  <c r="K693" i="3"/>
  <c r="H693" i="3"/>
  <c r="G693" i="3"/>
  <c r="E693" i="3"/>
  <c r="A693" i="3"/>
  <c r="K692" i="3"/>
  <c r="H692" i="3"/>
  <c r="G692" i="3"/>
  <c r="E692" i="3"/>
  <c r="A692" i="3"/>
  <c r="K691" i="3"/>
  <c r="H691" i="3"/>
  <c r="G691" i="3"/>
  <c r="E691" i="3"/>
  <c r="A691" i="3"/>
  <c r="K690" i="3"/>
  <c r="H690" i="3"/>
  <c r="G690" i="3"/>
  <c r="E690" i="3"/>
  <c r="A690" i="3"/>
  <c r="K689" i="3"/>
  <c r="H689" i="3"/>
  <c r="G689" i="3"/>
  <c r="E689" i="3"/>
  <c r="A689" i="3"/>
  <c r="K688" i="3"/>
  <c r="H688" i="3"/>
  <c r="G688" i="3"/>
  <c r="E688" i="3"/>
  <c r="A688" i="3"/>
  <c r="K687" i="3"/>
  <c r="H687" i="3"/>
  <c r="G687" i="3"/>
  <c r="E687" i="3"/>
  <c r="A687" i="3"/>
  <c r="K686" i="3"/>
  <c r="H686" i="3"/>
  <c r="G686" i="3"/>
  <c r="E686" i="3"/>
  <c r="A686" i="3"/>
  <c r="K685" i="3"/>
  <c r="H685" i="3"/>
  <c r="G685" i="3"/>
  <c r="E685" i="3"/>
  <c r="A685" i="3"/>
  <c r="K684" i="3"/>
  <c r="H684" i="3"/>
  <c r="G684" i="3"/>
  <c r="E684" i="3"/>
  <c r="A684" i="3"/>
  <c r="K683" i="3"/>
  <c r="H683" i="3"/>
  <c r="G683" i="3"/>
  <c r="E683" i="3"/>
  <c r="A683" i="3"/>
  <c r="K682" i="3"/>
  <c r="H682" i="3"/>
  <c r="G682" i="3"/>
  <c r="E682" i="3"/>
  <c r="A682" i="3"/>
  <c r="K681" i="3"/>
  <c r="H681" i="3"/>
  <c r="G681" i="3"/>
  <c r="E681" i="3"/>
  <c r="A681" i="3"/>
  <c r="K680" i="3"/>
  <c r="H680" i="3"/>
  <c r="G680" i="3"/>
  <c r="E680" i="3"/>
  <c r="A680" i="3"/>
  <c r="K679" i="3"/>
  <c r="H679" i="3"/>
  <c r="G679" i="3"/>
  <c r="E679" i="3"/>
  <c r="A679" i="3"/>
  <c r="K678" i="3"/>
  <c r="H678" i="3"/>
  <c r="G678" i="3"/>
  <c r="E678" i="3"/>
  <c r="A678" i="3"/>
  <c r="K677" i="3"/>
  <c r="H677" i="3"/>
  <c r="G677" i="3"/>
  <c r="E677" i="3"/>
  <c r="A677" i="3"/>
  <c r="K676" i="3"/>
  <c r="H676" i="3"/>
  <c r="G676" i="3"/>
  <c r="E676" i="3"/>
  <c r="A676" i="3"/>
  <c r="K675" i="3"/>
  <c r="H675" i="3"/>
  <c r="G675" i="3"/>
  <c r="E675" i="3"/>
  <c r="A675" i="3"/>
  <c r="K674" i="3"/>
  <c r="H674" i="3"/>
  <c r="G674" i="3"/>
  <c r="E674" i="3"/>
  <c r="A674" i="3"/>
  <c r="K673" i="3"/>
  <c r="H673" i="3"/>
  <c r="G673" i="3"/>
  <c r="E673" i="3"/>
  <c r="A673" i="3"/>
  <c r="K672" i="3"/>
  <c r="H672" i="3"/>
  <c r="G672" i="3"/>
  <c r="E672" i="3"/>
  <c r="A672" i="3"/>
  <c r="K671" i="3"/>
  <c r="H671" i="3"/>
  <c r="G671" i="3"/>
  <c r="E671" i="3"/>
  <c r="A671" i="3"/>
  <c r="K670" i="3"/>
  <c r="H670" i="3"/>
  <c r="G670" i="3"/>
  <c r="E670" i="3"/>
  <c r="A670" i="3"/>
  <c r="K669" i="3"/>
  <c r="H669" i="3"/>
  <c r="G669" i="3"/>
  <c r="E669" i="3"/>
  <c r="A669" i="3"/>
  <c r="K668" i="3"/>
  <c r="H668" i="3"/>
  <c r="G668" i="3"/>
  <c r="E668" i="3"/>
  <c r="A668" i="3"/>
  <c r="K667" i="3"/>
  <c r="H667" i="3"/>
  <c r="G667" i="3"/>
  <c r="E667" i="3"/>
  <c r="A667" i="3"/>
  <c r="K666" i="3"/>
  <c r="H666" i="3"/>
  <c r="G666" i="3"/>
  <c r="E666" i="3"/>
  <c r="A666" i="3"/>
  <c r="K665" i="3"/>
  <c r="H665" i="3"/>
  <c r="G665" i="3"/>
  <c r="E665" i="3"/>
  <c r="A665" i="3"/>
  <c r="K664" i="3"/>
  <c r="H664" i="3"/>
  <c r="G664" i="3"/>
  <c r="E664" i="3"/>
  <c r="A664" i="3"/>
  <c r="K663" i="3"/>
  <c r="H663" i="3"/>
  <c r="G663" i="3"/>
  <c r="E663" i="3"/>
  <c r="A663" i="3"/>
  <c r="K662" i="3"/>
  <c r="H662" i="3"/>
  <c r="G662" i="3"/>
  <c r="E662" i="3"/>
  <c r="A662" i="3"/>
  <c r="K661" i="3"/>
  <c r="H661" i="3"/>
  <c r="G661" i="3"/>
  <c r="E661" i="3"/>
  <c r="A661" i="3"/>
  <c r="K660" i="3"/>
  <c r="H660" i="3"/>
  <c r="G660" i="3"/>
  <c r="E660" i="3"/>
  <c r="A660" i="3"/>
  <c r="K659" i="3"/>
  <c r="H659" i="3"/>
  <c r="G659" i="3"/>
  <c r="E659" i="3"/>
  <c r="A659" i="3"/>
  <c r="K658" i="3"/>
  <c r="H658" i="3"/>
  <c r="G658" i="3"/>
  <c r="E658" i="3"/>
  <c r="A658" i="3"/>
  <c r="K657" i="3"/>
  <c r="H657" i="3"/>
  <c r="G657" i="3"/>
  <c r="E657" i="3"/>
  <c r="A657" i="3"/>
  <c r="K656" i="3"/>
  <c r="H656" i="3"/>
  <c r="G656" i="3"/>
  <c r="E656" i="3"/>
  <c r="A656" i="3"/>
  <c r="K655" i="3"/>
  <c r="H655" i="3"/>
  <c r="G655" i="3"/>
  <c r="E655" i="3"/>
  <c r="A655" i="3"/>
  <c r="K654" i="3"/>
  <c r="H654" i="3"/>
  <c r="G654" i="3"/>
  <c r="E654" i="3"/>
  <c r="A654" i="3"/>
  <c r="K653" i="3"/>
  <c r="H653" i="3"/>
  <c r="G653" i="3"/>
  <c r="E653" i="3"/>
  <c r="A653" i="3"/>
  <c r="K652" i="3"/>
  <c r="H652" i="3"/>
  <c r="G652" i="3"/>
  <c r="E652" i="3"/>
  <c r="A652" i="3"/>
  <c r="K651" i="3"/>
  <c r="H651" i="3"/>
  <c r="G651" i="3"/>
  <c r="E651" i="3"/>
  <c r="A651" i="3"/>
  <c r="K650" i="3"/>
  <c r="H650" i="3"/>
  <c r="G650" i="3"/>
  <c r="E650" i="3"/>
  <c r="A650" i="3"/>
  <c r="K649" i="3"/>
  <c r="H649" i="3"/>
  <c r="G649" i="3"/>
  <c r="E649" i="3"/>
  <c r="A649" i="3"/>
  <c r="K648" i="3"/>
  <c r="H648" i="3"/>
  <c r="G648" i="3"/>
  <c r="E648" i="3"/>
  <c r="A648" i="3"/>
  <c r="K647" i="3"/>
  <c r="H647" i="3"/>
  <c r="G647" i="3"/>
  <c r="E647" i="3"/>
  <c r="A647" i="3"/>
  <c r="K646" i="3"/>
  <c r="H646" i="3"/>
  <c r="G646" i="3"/>
  <c r="E646" i="3"/>
  <c r="A646" i="3"/>
  <c r="K645" i="3"/>
  <c r="H645" i="3"/>
  <c r="G645" i="3"/>
  <c r="E645" i="3"/>
  <c r="A645" i="3"/>
  <c r="K644" i="3"/>
  <c r="H644" i="3"/>
  <c r="G644" i="3"/>
  <c r="E644" i="3"/>
  <c r="A644" i="3"/>
  <c r="K643" i="3"/>
  <c r="H643" i="3"/>
  <c r="G643" i="3"/>
  <c r="E643" i="3"/>
  <c r="A643" i="3"/>
  <c r="K642" i="3"/>
  <c r="H642" i="3"/>
  <c r="G642" i="3"/>
  <c r="E642" i="3"/>
  <c r="A642" i="3"/>
  <c r="K641" i="3"/>
  <c r="H641" i="3"/>
  <c r="G641" i="3"/>
  <c r="E641" i="3"/>
  <c r="A641" i="3"/>
  <c r="K640" i="3"/>
  <c r="H640" i="3"/>
  <c r="G640" i="3"/>
  <c r="E640" i="3"/>
  <c r="A640" i="3"/>
  <c r="K639" i="3"/>
  <c r="H639" i="3"/>
  <c r="G639" i="3"/>
  <c r="E639" i="3"/>
  <c r="A639" i="3"/>
  <c r="K638" i="3"/>
  <c r="H638" i="3"/>
  <c r="G638" i="3"/>
  <c r="E638" i="3"/>
  <c r="A638" i="3"/>
  <c r="K637" i="3"/>
  <c r="H637" i="3"/>
  <c r="G637" i="3"/>
  <c r="E637" i="3"/>
  <c r="A637" i="3"/>
  <c r="K636" i="3"/>
  <c r="H636" i="3"/>
  <c r="G636" i="3"/>
  <c r="E636" i="3"/>
  <c r="A636" i="3"/>
  <c r="K635" i="3"/>
  <c r="H635" i="3"/>
  <c r="G635" i="3"/>
  <c r="E635" i="3"/>
  <c r="A635" i="3"/>
  <c r="K634" i="3"/>
  <c r="H634" i="3"/>
  <c r="G634" i="3"/>
  <c r="E634" i="3"/>
  <c r="A634" i="3"/>
  <c r="K633" i="3"/>
  <c r="H633" i="3"/>
  <c r="G633" i="3"/>
  <c r="E633" i="3"/>
  <c r="A633" i="3"/>
  <c r="K632" i="3"/>
  <c r="H632" i="3"/>
  <c r="G632" i="3"/>
  <c r="E632" i="3"/>
  <c r="A632" i="3"/>
  <c r="K631" i="3"/>
  <c r="H631" i="3"/>
  <c r="G631" i="3"/>
  <c r="E631" i="3"/>
  <c r="A631" i="3"/>
  <c r="K630" i="3"/>
  <c r="H630" i="3"/>
  <c r="G630" i="3"/>
  <c r="E630" i="3"/>
  <c r="A630" i="3"/>
  <c r="K629" i="3"/>
  <c r="H629" i="3"/>
  <c r="G629" i="3"/>
  <c r="E629" i="3"/>
  <c r="A629" i="3"/>
  <c r="K628" i="3"/>
  <c r="H628" i="3"/>
  <c r="G628" i="3"/>
  <c r="E628" i="3"/>
  <c r="A628" i="3"/>
  <c r="K627" i="3"/>
  <c r="H627" i="3"/>
  <c r="G627" i="3"/>
  <c r="E627" i="3"/>
  <c r="A627" i="3"/>
  <c r="K626" i="3"/>
  <c r="H626" i="3"/>
  <c r="G626" i="3"/>
  <c r="E626" i="3"/>
  <c r="A626" i="3"/>
  <c r="K625" i="3"/>
  <c r="H625" i="3"/>
  <c r="G625" i="3"/>
  <c r="E625" i="3"/>
  <c r="A625" i="3"/>
  <c r="K624" i="3"/>
  <c r="H624" i="3"/>
  <c r="G624" i="3"/>
  <c r="E624" i="3"/>
  <c r="A624" i="3"/>
  <c r="K623" i="3"/>
  <c r="H623" i="3"/>
  <c r="G623" i="3"/>
  <c r="E623" i="3"/>
  <c r="A623" i="3"/>
  <c r="K622" i="3"/>
  <c r="H622" i="3"/>
  <c r="G622" i="3"/>
  <c r="E622" i="3"/>
  <c r="A622" i="3"/>
  <c r="K621" i="3"/>
  <c r="H621" i="3"/>
  <c r="G621" i="3"/>
  <c r="E621" i="3"/>
  <c r="A621" i="3"/>
  <c r="K620" i="3"/>
  <c r="H620" i="3"/>
  <c r="G620" i="3"/>
  <c r="E620" i="3"/>
  <c r="A620" i="3"/>
  <c r="K619" i="3"/>
  <c r="H619" i="3"/>
  <c r="G619" i="3"/>
  <c r="E619" i="3"/>
  <c r="A619" i="3"/>
  <c r="K618" i="3"/>
  <c r="H618" i="3"/>
  <c r="G618" i="3"/>
  <c r="E618" i="3"/>
  <c r="A618" i="3"/>
  <c r="K617" i="3"/>
  <c r="H617" i="3"/>
  <c r="G617" i="3"/>
  <c r="E617" i="3"/>
  <c r="A617" i="3"/>
  <c r="K616" i="3"/>
  <c r="H616" i="3"/>
  <c r="G616" i="3"/>
  <c r="E616" i="3"/>
  <c r="A616" i="3"/>
  <c r="K615" i="3"/>
  <c r="H615" i="3"/>
  <c r="G615" i="3"/>
  <c r="E615" i="3"/>
  <c r="A615" i="3"/>
  <c r="K614" i="3"/>
  <c r="H614" i="3"/>
  <c r="G614" i="3"/>
  <c r="E614" i="3"/>
  <c r="A614" i="3"/>
  <c r="K613" i="3"/>
  <c r="H613" i="3"/>
  <c r="G613" i="3"/>
  <c r="E613" i="3"/>
  <c r="A613" i="3"/>
  <c r="K612" i="3"/>
  <c r="H612" i="3"/>
  <c r="G612" i="3"/>
  <c r="E612" i="3"/>
  <c r="A612" i="3"/>
  <c r="K611" i="3"/>
  <c r="H611" i="3"/>
  <c r="G611" i="3"/>
  <c r="E611" i="3"/>
  <c r="A611" i="3"/>
  <c r="K610" i="3"/>
  <c r="H610" i="3"/>
  <c r="G610" i="3"/>
  <c r="E610" i="3"/>
  <c r="A610" i="3"/>
  <c r="K609" i="3"/>
  <c r="H609" i="3"/>
  <c r="G609" i="3"/>
  <c r="E609" i="3"/>
  <c r="A609" i="3"/>
  <c r="K608" i="3"/>
  <c r="H608" i="3"/>
  <c r="G608" i="3"/>
  <c r="E608" i="3"/>
  <c r="A608" i="3"/>
  <c r="K607" i="3"/>
  <c r="H607" i="3"/>
  <c r="G607" i="3"/>
  <c r="E607" i="3"/>
  <c r="A607" i="3"/>
  <c r="K606" i="3"/>
  <c r="H606" i="3"/>
  <c r="G606" i="3"/>
  <c r="E606" i="3"/>
  <c r="A606" i="3"/>
  <c r="K605" i="3"/>
  <c r="H605" i="3"/>
  <c r="G605" i="3"/>
  <c r="E605" i="3"/>
  <c r="A605" i="3"/>
  <c r="K604" i="3"/>
  <c r="H604" i="3"/>
  <c r="G604" i="3"/>
  <c r="E604" i="3"/>
  <c r="A604" i="3"/>
  <c r="K603" i="3"/>
  <c r="H603" i="3"/>
  <c r="G603" i="3"/>
  <c r="E603" i="3"/>
  <c r="A603" i="3"/>
  <c r="K602" i="3"/>
  <c r="H602" i="3"/>
  <c r="G602" i="3"/>
  <c r="E602" i="3"/>
  <c r="A602" i="3"/>
  <c r="K601" i="3"/>
  <c r="H601" i="3"/>
  <c r="G601" i="3"/>
  <c r="E601" i="3"/>
  <c r="A601" i="3"/>
  <c r="K600" i="3"/>
  <c r="H600" i="3"/>
  <c r="G600" i="3"/>
  <c r="E600" i="3"/>
  <c r="A600" i="3"/>
  <c r="K599" i="3"/>
  <c r="H599" i="3"/>
  <c r="G599" i="3"/>
  <c r="E599" i="3"/>
  <c r="A599" i="3"/>
  <c r="K598" i="3"/>
  <c r="H598" i="3"/>
  <c r="G598" i="3"/>
  <c r="E598" i="3"/>
  <c r="A598" i="3"/>
  <c r="K597" i="3"/>
  <c r="H597" i="3"/>
  <c r="G597" i="3"/>
  <c r="E597" i="3"/>
  <c r="A597" i="3"/>
  <c r="K596" i="3"/>
  <c r="H596" i="3"/>
  <c r="G596" i="3"/>
  <c r="E596" i="3"/>
  <c r="A596" i="3"/>
  <c r="K595" i="3"/>
  <c r="H595" i="3"/>
  <c r="G595" i="3"/>
  <c r="E595" i="3"/>
  <c r="A595" i="3"/>
  <c r="K594" i="3"/>
  <c r="H594" i="3"/>
  <c r="G594" i="3"/>
  <c r="E594" i="3"/>
  <c r="A594" i="3"/>
  <c r="K593" i="3"/>
  <c r="H593" i="3"/>
  <c r="G593" i="3"/>
  <c r="E593" i="3"/>
  <c r="A593" i="3"/>
  <c r="K592" i="3"/>
  <c r="H592" i="3"/>
  <c r="G592" i="3"/>
  <c r="E592" i="3"/>
  <c r="A592" i="3"/>
  <c r="K591" i="3"/>
  <c r="H591" i="3"/>
  <c r="G591" i="3"/>
  <c r="E591" i="3"/>
  <c r="A591" i="3"/>
  <c r="K590" i="3"/>
  <c r="H590" i="3"/>
  <c r="G590" i="3"/>
  <c r="E590" i="3"/>
  <c r="A590" i="3"/>
  <c r="K589" i="3"/>
  <c r="H589" i="3"/>
  <c r="G589" i="3"/>
  <c r="E589" i="3"/>
  <c r="A589" i="3"/>
  <c r="K588" i="3"/>
  <c r="H588" i="3"/>
  <c r="G588" i="3"/>
  <c r="E588" i="3"/>
  <c r="A588" i="3"/>
  <c r="K587" i="3"/>
  <c r="H587" i="3"/>
  <c r="G587" i="3"/>
  <c r="E587" i="3"/>
  <c r="A587" i="3"/>
  <c r="K586" i="3"/>
  <c r="H586" i="3"/>
  <c r="G586" i="3"/>
  <c r="E586" i="3"/>
  <c r="A586" i="3"/>
  <c r="K585" i="3"/>
  <c r="H585" i="3"/>
  <c r="G585" i="3"/>
  <c r="E585" i="3"/>
  <c r="A585" i="3"/>
  <c r="K584" i="3"/>
  <c r="H584" i="3"/>
  <c r="G584" i="3"/>
  <c r="E584" i="3"/>
  <c r="A584" i="3"/>
  <c r="K583" i="3"/>
  <c r="H583" i="3"/>
  <c r="G583" i="3"/>
  <c r="E583" i="3"/>
  <c r="A583" i="3"/>
  <c r="K582" i="3"/>
  <c r="H582" i="3"/>
  <c r="G582" i="3"/>
  <c r="E582" i="3"/>
  <c r="A582" i="3"/>
  <c r="K581" i="3"/>
  <c r="H581" i="3"/>
  <c r="G581" i="3"/>
  <c r="E581" i="3"/>
  <c r="A581" i="3"/>
  <c r="K580" i="3"/>
  <c r="H580" i="3"/>
  <c r="G580" i="3"/>
  <c r="E580" i="3"/>
  <c r="A580" i="3"/>
  <c r="K579" i="3"/>
  <c r="H579" i="3"/>
  <c r="G579" i="3"/>
  <c r="E579" i="3"/>
  <c r="A579" i="3"/>
  <c r="K578" i="3"/>
  <c r="H578" i="3"/>
  <c r="G578" i="3"/>
  <c r="E578" i="3"/>
  <c r="A578" i="3"/>
  <c r="K577" i="3"/>
  <c r="H577" i="3"/>
  <c r="G577" i="3"/>
  <c r="E577" i="3"/>
  <c r="A577" i="3"/>
  <c r="K576" i="3"/>
  <c r="H576" i="3"/>
  <c r="G576" i="3"/>
  <c r="E576" i="3"/>
  <c r="A576" i="3"/>
  <c r="K575" i="3"/>
  <c r="H575" i="3"/>
  <c r="G575" i="3"/>
  <c r="E575" i="3"/>
  <c r="A575" i="3"/>
  <c r="K574" i="3"/>
  <c r="H574" i="3"/>
  <c r="G574" i="3"/>
  <c r="E574" i="3"/>
  <c r="A574" i="3"/>
  <c r="K573" i="3"/>
  <c r="H573" i="3"/>
  <c r="G573" i="3"/>
  <c r="E573" i="3"/>
  <c r="A573" i="3"/>
  <c r="K572" i="3"/>
  <c r="H572" i="3"/>
  <c r="G572" i="3"/>
  <c r="E572" i="3"/>
  <c r="A572" i="3"/>
  <c r="K571" i="3"/>
  <c r="H571" i="3"/>
  <c r="G571" i="3"/>
  <c r="E571" i="3"/>
  <c r="A571" i="3"/>
  <c r="K570" i="3"/>
  <c r="H570" i="3"/>
  <c r="G570" i="3"/>
  <c r="E570" i="3"/>
  <c r="A570" i="3"/>
  <c r="K569" i="3"/>
  <c r="H569" i="3"/>
  <c r="G569" i="3"/>
  <c r="E569" i="3"/>
  <c r="A569" i="3"/>
  <c r="K568" i="3"/>
  <c r="H568" i="3"/>
  <c r="G568" i="3"/>
  <c r="E568" i="3"/>
  <c r="A568" i="3"/>
  <c r="K567" i="3"/>
  <c r="H567" i="3"/>
  <c r="G567" i="3"/>
  <c r="E567" i="3"/>
  <c r="A567" i="3"/>
  <c r="K566" i="3"/>
  <c r="H566" i="3"/>
  <c r="G566" i="3"/>
  <c r="E566" i="3"/>
  <c r="A566" i="3"/>
  <c r="K565" i="3"/>
  <c r="H565" i="3"/>
  <c r="G565" i="3"/>
  <c r="E565" i="3"/>
  <c r="A565" i="3"/>
  <c r="K564" i="3"/>
  <c r="H564" i="3"/>
  <c r="G564" i="3"/>
  <c r="E564" i="3"/>
  <c r="A564" i="3"/>
  <c r="K563" i="3"/>
  <c r="H563" i="3"/>
  <c r="G563" i="3"/>
  <c r="E563" i="3"/>
  <c r="A563" i="3"/>
  <c r="K562" i="3"/>
  <c r="H562" i="3"/>
  <c r="G562" i="3"/>
  <c r="E562" i="3"/>
  <c r="A562" i="3"/>
  <c r="K561" i="3"/>
  <c r="H561" i="3"/>
  <c r="G561" i="3"/>
  <c r="E561" i="3"/>
  <c r="A561" i="3"/>
  <c r="K560" i="3"/>
  <c r="H560" i="3"/>
  <c r="G560" i="3"/>
  <c r="E560" i="3"/>
  <c r="A560" i="3"/>
  <c r="K559" i="3"/>
  <c r="H559" i="3"/>
  <c r="G559" i="3"/>
  <c r="E559" i="3"/>
  <c r="A559" i="3"/>
  <c r="K558" i="3"/>
  <c r="H558" i="3"/>
  <c r="G558" i="3"/>
  <c r="E558" i="3"/>
  <c r="A558" i="3"/>
  <c r="K557" i="3"/>
  <c r="H557" i="3"/>
  <c r="G557" i="3"/>
  <c r="E557" i="3"/>
  <c r="A557" i="3"/>
  <c r="K556" i="3"/>
  <c r="H556" i="3"/>
  <c r="G556" i="3"/>
  <c r="E556" i="3"/>
  <c r="A556" i="3"/>
  <c r="K555" i="3"/>
  <c r="H555" i="3"/>
  <c r="G555" i="3"/>
  <c r="E555" i="3"/>
  <c r="A555" i="3"/>
  <c r="K554" i="3"/>
  <c r="H554" i="3"/>
  <c r="G554" i="3"/>
  <c r="E554" i="3"/>
  <c r="A554" i="3"/>
  <c r="K553" i="3"/>
  <c r="H553" i="3"/>
  <c r="G553" i="3"/>
  <c r="E553" i="3"/>
  <c r="A553" i="3"/>
  <c r="K552" i="3"/>
  <c r="H552" i="3"/>
  <c r="G552" i="3"/>
  <c r="E552" i="3"/>
  <c r="A552" i="3"/>
  <c r="K551" i="3"/>
  <c r="H551" i="3"/>
  <c r="G551" i="3"/>
  <c r="E551" i="3"/>
  <c r="A551" i="3"/>
  <c r="K550" i="3"/>
  <c r="H550" i="3"/>
  <c r="G550" i="3"/>
  <c r="E550" i="3"/>
  <c r="A550" i="3"/>
  <c r="K549" i="3"/>
  <c r="H549" i="3"/>
  <c r="G549" i="3"/>
  <c r="E549" i="3"/>
  <c r="A549" i="3"/>
  <c r="K548" i="3"/>
  <c r="H548" i="3"/>
  <c r="G548" i="3"/>
  <c r="E548" i="3"/>
  <c r="A548" i="3"/>
  <c r="K547" i="3"/>
  <c r="H547" i="3"/>
  <c r="G547" i="3"/>
  <c r="E547" i="3"/>
  <c r="A547" i="3"/>
  <c r="K546" i="3"/>
  <c r="H546" i="3"/>
  <c r="G546" i="3"/>
  <c r="E546" i="3"/>
  <c r="A546" i="3"/>
  <c r="K545" i="3"/>
  <c r="H545" i="3"/>
  <c r="G545" i="3"/>
  <c r="E545" i="3"/>
  <c r="A545" i="3"/>
  <c r="K544" i="3"/>
  <c r="H544" i="3"/>
  <c r="G544" i="3"/>
  <c r="E544" i="3"/>
  <c r="A544" i="3"/>
  <c r="K543" i="3"/>
  <c r="H543" i="3"/>
  <c r="G543" i="3"/>
  <c r="E543" i="3"/>
  <c r="A543" i="3"/>
  <c r="K542" i="3"/>
  <c r="H542" i="3"/>
  <c r="G542" i="3"/>
  <c r="E542" i="3"/>
  <c r="A542" i="3"/>
  <c r="K541" i="3"/>
  <c r="H541" i="3"/>
  <c r="G541" i="3"/>
  <c r="E541" i="3"/>
  <c r="A541" i="3"/>
  <c r="K540" i="3"/>
  <c r="H540" i="3"/>
  <c r="G540" i="3"/>
  <c r="E540" i="3"/>
  <c r="A540" i="3"/>
  <c r="K539" i="3"/>
  <c r="H539" i="3"/>
  <c r="G539" i="3"/>
  <c r="E539" i="3"/>
  <c r="A539" i="3"/>
  <c r="K538" i="3"/>
  <c r="H538" i="3"/>
  <c r="G538" i="3"/>
  <c r="E538" i="3"/>
  <c r="A538" i="3"/>
  <c r="K537" i="3"/>
  <c r="H537" i="3"/>
  <c r="G537" i="3"/>
  <c r="E537" i="3"/>
  <c r="A537" i="3"/>
  <c r="K536" i="3"/>
  <c r="H536" i="3"/>
  <c r="G536" i="3"/>
  <c r="E536" i="3"/>
  <c r="A536" i="3"/>
  <c r="K535" i="3"/>
  <c r="H535" i="3"/>
  <c r="G535" i="3"/>
  <c r="E535" i="3"/>
  <c r="A535" i="3"/>
  <c r="K534" i="3"/>
  <c r="H534" i="3"/>
  <c r="G534" i="3"/>
  <c r="E534" i="3"/>
  <c r="A534" i="3"/>
  <c r="K533" i="3"/>
  <c r="H533" i="3"/>
  <c r="G533" i="3"/>
  <c r="E533" i="3"/>
  <c r="A533" i="3"/>
  <c r="K532" i="3"/>
  <c r="H532" i="3"/>
  <c r="G532" i="3"/>
  <c r="E532" i="3"/>
  <c r="A532" i="3"/>
  <c r="K531" i="3"/>
  <c r="H531" i="3"/>
  <c r="G531" i="3"/>
  <c r="E531" i="3"/>
  <c r="A531" i="3"/>
  <c r="K530" i="3"/>
  <c r="H530" i="3"/>
  <c r="G530" i="3"/>
  <c r="E530" i="3"/>
  <c r="A530" i="3"/>
  <c r="K529" i="3"/>
  <c r="H529" i="3"/>
  <c r="G529" i="3"/>
  <c r="E529" i="3"/>
  <c r="A529" i="3"/>
  <c r="K528" i="3"/>
  <c r="H528" i="3"/>
  <c r="G528" i="3"/>
  <c r="E528" i="3"/>
  <c r="A528" i="3"/>
  <c r="K527" i="3"/>
  <c r="H527" i="3"/>
  <c r="G527" i="3"/>
  <c r="E527" i="3"/>
  <c r="A527" i="3"/>
  <c r="K526" i="3"/>
  <c r="H526" i="3"/>
  <c r="G526" i="3"/>
  <c r="E526" i="3"/>
  <c r="A526" i="3"/>
  <c r="K525" i="3"/>
  <c r="H525" i="3"/>
  <c r="G525" i="3"/>
  <c r="E525" i="3"/>
  <c r="A525" i="3"/>
  <c r="K524" i="3"/>
  <c r="H524" i="3"/>
  <c r="G524" i="3"/>
  <c r="E524" i="3"/>
  <c r="A524" i="3"/>
  <c r="K523" i="3"/>
  <c r="H523" i="3"/>
  <c r="G523" i="3"/>
  <c r="E523" i="3"/>
  <c r="A523" i="3"/>
  <c r="K522" i="3"/>
  <c r="H522" i="3"/>
  <c r="G522" i="3"/>
  <c r="E522" i="3"/>
  <c r="A522" i="3"/>
  <c r="K521" i="3"/>
  <c r="H521" i="3"/>
  <c r="G521" i="3"/>
  <c r="E521" i="3"/>
  <c r="A521" i="3"/>
  <c r="K520" i="3"/>
  <c r="H520" i="3"/>
  <c r="G520" i="3"/>
  <c r="E520" i="3"/>
  <c r="A520" i="3"/>
  <c r="K519" i="3"/>
  <c r="H519" i="3"/>
  <c r="G519" i="3"/>
  <c r="E519" i="3"/>
  <c r="A519" i="3"/>
  <c r="K518" i="3"/>
  <c r="H518" i="3"/>
  <c r="G518" i="3"/>
  <c r="E518" i="3"/>
  <c r="A518" i="3"/>
  <c r="K517" i="3"/>
  <c r="H517" i="3"/>
  <c r="G517" i="3"/>
  <c r="E517" i="3"/>
  <c r="A517" i="3"/>
  <c r="K516" i="3"/>
  <c r="H516" i="3"/>
  <c r="G516" i="3"/>
  <c r="E516" i="3"/>
  <c r="A516" i="3"/>
  <c r="K515" i="3"/>
  <c r="H515" i="3"/>
  <c r="G515" i="3"/>
  <c r="E515" i="3"/>
  <c r="A515" i="3"/>
  <c r="K514" i="3"/>
  <c r="H514" i="3"/>
  <c r="G514" i="3"/>
  <c r="E514" i="3"/>
  <c r="A514" i="3"/>
  <c r="K513" i="3"/>
  <c r="H513" i="3"/>
  <c r="G513" i="3"/>
  <c r="E513" i="3"/>
  <c r="A513" i="3"/>
  <c r="K512" i="3"/>
  <c r="H512" i="3"/>
  <c r="G512" i="3"/>
  <c r="E512" i="3"/>
  <c r="A512" i="3"/>
  <c r="K511" i="3"/>
  <c r="H511" i="3"/>
  <c r="G511" i="3"/>
  <c r="E511" i="3"/>
  <c r="A511" i="3"/>
  <c r="K510" i="3"/>
  <c r="H510" i="3"/>
  <c r="G510" i="3"/>
  <c r="E510" i="3"/>
  <c r="A510" i="3"/>
  <c r="K509" i="3"/>
  <c r="H509" i="3"/>
  <c r="G509" i="3"/>
  <c r="E509" i="3"/>
  <c r="A509" i="3"/>
  <c r="K508" i="3"/>
  <c r="H508" i="3"/>
  <c r="G508" i="3"/>
  <c r="E508" i="3"/>
  <c r="A508" i="3"/>
  <c r="K507" i="3"/>
  <c r="H507" i="3"/>
  <c r="G507" i="3"/>
  <c r="E507" i="3"/>
  <c r="A507" i="3"/>
  <c r="K506" i="3"/>
  <c r="H506" i="3"/>
  <c r="G506" i="3"/>
  <c r="E506" i="3"/>
  <c r="A506" i="3"/>
  <c r="K505" i="3"/>
  <c r="H505" i="3"/>
  <c r="G505" i="3"/>
  <c r="E505" i="3"/>
  <c r="A505" i="3"/>
  <c r="K504" i="3"/>
  <c r="H504" i="3"/>
  <c r="G504" i="3"/>
  <c r="E504" i="3"/>
  <c r="A504" i="3"/>
  <c r="K503" i="3"/>
  <c r="H503" i="3"/>
  <c r="G503" i="3"/>
  <c r="E503" i="3"/>
  <c r="A503" i="3"/>
  <c r="K502" i="3"/>
  <c r="H502" i="3"/>
  <c r="G502" i="3"/>
  <c r="E502" i="3"/>
  <c r="A502" i="3"/>
  <c r="K501" i="3"/>
  <c r="H501" i="3"/>
  <c r="G501" i="3"/>
  <c r="E501" i="3"/>
  <c r="A501" i="3"/>
  <c r="K500" i="3"/>
  <c r="H500" i="3"/>
  <c r="G500" i="3"/>
  <c r="E500" i="3"/>
  <c r="A500" i="3"/>
  <c r="K499" i="3"/>
  <c r="H499" i="3"/>
  <c r="G499" i="3"/>
  <c r="E499" i="3"/>
  <c r="A499" i="3"/>
  <c r="K498" i="3"/>
  <c r="H498" i="3"/>
  <c r="G498" i="3"/>
  <c r="E498" i="3"/>
  <c r="A498" i="3"/>
  <c r="K497" i="3"/>
  <c r="H497" i="3"/>
  <c r="G497" i="3"/>
  <c r="E497" i="3"/>
  <c r="A497" i="3"/>
  <c r="K496" i="3"/>
  <c r="H496" i="3"/>
  <c r="G496" i="3"/>
  <c r="E496" i="3"/>
  <c r="A496" i="3"/>
  <c r="K495" i="3"/>
  <c r="H495" i="3"/>
  <c r="G495" i="3"/>
  <c r="E495" i="3"/>
  <c r="A495" i="3"/>
  <c r="K494" i="3"/>
  <c r="H494" i="3"/>
  <c r="G494" i="3"/>
  <c r="E494" i="3"/>
  <c r="A494" i="3"/>
  <c r="K493" i="3"/>
  <c r="H493" i="3"/>
  <c r="G493" i="3"/>
  <c r="E493" i="3"/>
  <c r="A493" i="3"/>
  <c r="K492" i="3"/>
  <c r="H492" i="3"/>
  <c r="G492" i="3"/>
  <c r="E492" i="3"/>
  <c r="A492" i="3"/>
  <c r="K491" i="3"/>
  <c r="H491" i="3"/>
  <c r="G491" i="3"/>
  <c r="E491" i="3"/>
  <c r="A491" i="3"/>
  <c r="K490" i="3"/>
  <c r="H490" i="3"/>
  <c r="G490" i="3"/>
  <c r="E490" i="3"/>
  <c r="A490" i="3"/>
  <c r="K489" i="3"/>
  <c r="H489" i="3"/>
  <c r="G489" i="3"/>
  <c r="E489" i="3"/>
  <c r="A489" i="3"/>
  <c r="K488" i="3"/>
  <c r="H488" i="3"/>
  <c r="G488" i="3"/>
  <c r="E488" i="3"/>
  <c r="A488" i="3"/>
  <c r="K487" i="3"/>
  <c r="H487" i="3"/>
  <c r="G487" i="3"/>
  <c r="E487" i="3"/>
  <c r="A487" i="3"/>
  <c r="K486" i="3"/>
  <c r="H486" i="3"/>
  <c r="G486" i="3"/>
  <c r="E486" i="3"/>
  <c r="A486" i="3"/>
  <c r="K485" i="3"/>
  <c r="H485" i="3"/>
  <c r="G485" i="3"/>
  <c r="E485" i="3"/>
  <c r="A485" i="3"/>
  <c r="K484" i="3"/>
  <c r="H484" i="3"/>
  <c r="G484" i="3"/>
  <c r="E484" i="3"/>
  <c r="A484" i="3"/>
  <c r="K483" i="3"/>
  <c r="H483" i="3"/>
  <c r="G483" i="3"/>
  <c r="E483" i="3"/>
  <c r="A483" i="3"/>
  <c r="K482" i="3"/>
  <c r="H482" i="3"/>
  <c r="G482" i="3"/>
  <c r="E482" i="3"/>
  <c r="A482" i="3"/>
  <c r="K481" i="3"/>
  <c r="H481" i="3"/>
  <c r="G481" i="3"/>
  <c r="E481" i="3"/>
  <c r="A481" i="3"/>
  <c r="K480" i="3"/>
  <c r="H480" i="3"/>
  <c r="G480" i="3"/>
  <c r="E480" i="3"/>
  <c r="A480" i="3"/>
  <c r="K479" i="3"/>
  <c r="H479" i="3"/>
  <c r="G479" i="3"/>
  <c r="E479" i="3"/>
  <c r="A479" i="3"/>
  <c r="K478" i="3"/>
  <c r="H478" i="3"/>
  <c r="G478" i="3"/>
  <c r="E478" i="3"/>
  <c r="A478" i="3"/>
  <c r="K477" i="3"/>
  <c r="H477" i="3"/>
  <c r="G477" i="3"/>
  <c r="E477" i="3"/>
  <c r="A477" i="3"/>
  <c r="K476" i="3"/>
  <c r="H476" i="3"/>
  <c r="G476" i="3"/>
  <c r="E476" i="3"/>
  <c r="A476" i="3"/>
  <c r="K475" i="3"/>
  <c r="H475" i="3"/>
  <c r="G475" i="3"/>
  <c r="E475" i="3"/>
  <c r="A475" i="3"/>
  <c r="K474" i="3"/>
  <c r="H474" i="3"/>
  <c r="G474" i="3"/>
  <c r="E474" i="3"/>
  <c r="A474" i="3"/>
  <c r="K473" i="3"/>
  <c r="H473" i="3"/>
  <c r="G473" i="3"/>
  <c r="E473" i="3"/>
  <c r="A473" i="3"/>
  <c r="K472" i="3"/>
  <c r="H472" i="3"/>
  <c r="G472" i="3"/>
  <c r="E472" i="3"/>
  <c r="A472" i="3"/>
  <c r="K471" i="3"/>
  <c r="H471" i="3"/>
  <c r="G471" i="3"/>
  <c r="E471" i="3"/>
  <c r="A471" i="3"/>
  <c r="K470" i="3"/>
  <c r="H470" i="3"/>
  <c r="G470" i="3"/>
  <c r="E470" i="3"/>
  <c r="A470" i="3"/>
  <c r="K469" i="3"/>
  <c r="H469" i="3"/>
  <c r="G469" i="3"/>
  <c r="E469" i="3"/>
  <c r="A469" i="3"/>
  <c r="K468" i="3"/>
  <c r="H468" i="3"/>
  <c r="G468" i="3"/>
  <c r="E468" i="3"/>
  <c r="A468" i="3"/>
  <c r="K467" i="3"/>
  <c r="H467" i="3"/>
  <c r="G467" i="3"/>
  <c r="E467" i="3"/>
  <c r="A467" i="3"/>
  <c r="K466" i="3"/>
  <c r="H466" i="3"/>
  <c r="G466" i="3"/>
  <c r="E466" i="3"/>
  <c r="A466" i="3"/>
  <c r="K465" i="3"/>
  <c r="H465" i="3"/>
  <c r="G465" i="3"/>
  <c r="E465" i="3"/>
  <c r="A465" i="3"/>
  <c r="K464" i="3"/>
  <c r="H464" i="3"/>
  <c r="G464" i="3"/>
  <c r="E464" i="3"/>
  <c r="A464" i="3"/>
  <c r="K463" i="3"/>
  <c r="H463" i="3"/>
  <c r="G463" i="3"/>
  <c r="E463" i="3"/>
  <c r="A463" i="3"/>
  <c r="K462" i="3"/>
  <c r="H462" i="3"/>
  <c r="G462" i="3"/>
  <c r="E462" i="3"/>
  <c r="A462" i="3"/>
  <c r="K461" i="3"/>
  <c r="H461" i="3"/>
  <c r="G461" i="3"/>
  <c r="E461" i="3"/>
  <c r="A461" i="3"/>
  <c r="K460" i="3"/>
  <c r="H460" i="3"/>
  <c r="G460" i="3"/>
  <c r="E460" i="3"/>
  <c r="A460" i="3"/>
  <c r="K459" i="3"/>
  <c r="H459" i="3"/>
  <c r="G459" i="3"/>
  <c r="E459" i="3"/>
  <c r="A459" i="3"/>
  <c r="K458" i="3"/>
  <c r="H458" i="3"/>
  <c r="G458" i="3"/>
  <c r="E458" i="3"/>
  <c r="A458" i="3"/>
  <c r="K457" i="3"/>
  <c r="H457" i="3"/>
  <c r="G457" i="3"/>
  <c r="E457" i="3"/>
  <c r="A457" i="3"/>
  <c r="K456" i="3"/>
  <c r="H456" i="3"/>
  <c r="G456" i="3"/>
  <c r="E456" i="3"/>
  <c r="A456" i="3"/>
  <c r="K455" i="3"/>
  <c r="H455" i="3"/>
  <c r="G455" i="3"/>
  <c r="E455" i="3"/>
  <c r="A455" i="3"/>
  <c r="K454" i="3"/>
  <c r="H454" i="3"/>
  <c r="G454" i="3"/>
  <c r="E454" i="3"/>
  <c r="A454" i="3"/>
  <c r="K453" i="3"/>
  <c r="H453" i="3"/>
  <c r="G453" i="3"/>
  <c r="E453" i="3"/>
  <c r="A453" i="3"/>
  <c r="K452" i="3"/>
  <c r="H452" i="3"/>
  <c r="G452" i="3"/>
  <c r="E452" i="3"/>
  <c r="A452" i="3"/>
  <c r="K451" i="3"/>
  <c r="H451" i="3"/>
  <c r="G451" i="3"/>
  <c r="E451" i="3"/>
  <c r="A451" i="3"/>
  <c r="K450" i="3"/>
  <c r="H450" i="3"/>
  <c r="G450" i="3"/>
  <c r="E450" i="3"/>
  <c r="A450" i="3"/>
  <c r="K449" i="3"/>
  <c r="H449" i="3"/>
  <c r="G449" i="3"/>
  <c r="E449" i="3"/>
  <c r="A449" i="3"/>
  <c r="K448" i="3"/>
  <c r="H448" i="3"/>
  <c r="G448" i="3"/>
  <c r="E448" i="3"/>
  <c r="A448" i="3"/>
  <c r="K447" i="3"/>
  <c r="H447" i="3"/>
  <c r="G447" i="3"/>
  <c r="E447" i="3"/>
  <c r="A447" i="3"/>
  <c r="K446" i="3"/>
  <c r="H446" i="3"/>
  <c r="G446" i="3"/>
  <c r="E446" i="3"/>
  <c r="A446" i="3"/>
  <c r="K445" i="3"/>
  <c r="H445" i="3"/>
  <c r="G445" i="3"/>
  <c r="E445" i="3"/>
  <c r="A445" i="3"/>
  <c r="K444" i="3"/>
  <c r="H444" i="3"/>
  <c r="G444" i="3"/>
  <c r="E444" i="3"/>
  <c r="A444" i="3"/>
  <c r="K443" i="3"/>
  <c r="H443" i="3"/>
  <c r="G443" i="3"/>
  <c r="E443" i="3"/>
  <c r="A443" i="3"/>
  <c r="K442" i="3"/>
  <c r="H442" i="3"/>
  <c r="G442" i="3"/>
  <c r="E442" i="3"/>
  <c r="A442" i="3"/>
  <c r="K441" i="3"/>
  <c r="H441" i="3"/>
  <c r="G441" i="3"/>
  <c r="E441" i="3"/>
  <c r="A441" i="3"/>
  <c r="K440" i="3"/>
  <c r="H440" i="3"/>
  <c r="G440" i="3"/>
  <c r="E440" i="3"/>
  <c r="A440" i="3"/>
  <c r="K439" i="3"/>
  <c r="H439" i="3"/>
  <c r="G439" i="3"/>
  <c r="E439" i="3"/>
  <c r="A439" i="3"/>
  <c r="K438" i="3"/>
  <c r="H438" i="3"/>
  <c r="G438" i="3"/>
  <c r="E438" i="3"/>
  <c r="A438" i="3"/>
  <c r="K437" i="3"/>
  <c r="H437" i="3"/>
  <c r="G437" i="3"/>
  <c r="E437" i="3"/>
  <c r="A437" i="3"/>
  <c r="K436" i="3"/>
  <c r="H436" i="3"/>
  <c r="G436" i="3"/>
  <c r="E436" i="3"/>
  <c r="A436" i="3"/>
  <c r="K435" i="3"/>
  <c r="H435" i="3"/>
  <c r="G435" i="3"/>
  <c r="E435" i="3"/>
  <c r="A435" i="3"/>
  <c r="K434" i="3"/>
  <c r="H434" i="3"/>
  <c r="G434" i="3"/>
  <c r="E434" i="3"/>
  <c r="A434" i="3"/>
  <c r="K433" i="3"/>
  <c r="H433" i="3"/>
  <c r="G433" i="3"/>
  <c r="E433" i="3"/>
  <c r="A433" i="3"/>
  <c r="K432" i="3"/>
  <c r="H432" i="3"/>
  <c r="G432" i="3"/>
  <c r="E432" i="3"/>
  <c r="A432" i="3"/>
  <c r="K431" i="3"/>
  <c r="H431" i="3"/>
  <c r="G431" i="3"/>
  <c r="E431" i="3"/>
  <c r="A431" i="3"/>
  <c r="K430" i="3"/>
  <c r="H430" i="3"/>
  <c r="G430" i="3"/>
  <c r="E430" i="3"/>
  <c r="A430" i="3"/>
  <c r="K429" i="3"/>
  <c r="H429" i="3"/>
  <c r="G429" i="3"/>
  <c r="E429" i="3"/>
  <c r="A429" i="3"/>
  <c r="K428" i="3"/>
  <c r="H428" i="3"/>
  <c r="G428" i="3"/>
  <c r="E428" i="3"/>
  <c r="A428" i="3"/>
  <c r="K427" i="3"/>
  <c r="H427" i="3"/>
  <c r="G427" i="3"/>
  <c r="E427" i="3"/>
  <c r="A427" i="3"/>
  <c r="K426" i="3"/>
  <c r="H426" i="3"/>
  <c r="G426" i="3"/>
  <c r="E426" i="3"/>
  <c r="A426" i="3"/>
  <c r="K425" i="3"/>
  <c r="H425" i="3"/>
  <c r="G425" i="3"/>
  <c r="E425" i="3"/>
  <c r="A425" i="3"/>
  <c r="K424" i="3"/>
  <c r="H424" i="3"/>
  <c r="G424" i="3"/>
  <c r="E424" i="3"/>
  <c r="A424" i="3"/>
  <c r="K423" i="3"/>
  <c r="H423" i="3"/>
  <c r="G423" i="3"/>
  <c r="E423" i="3"/>
  <c r="A423" i="3"/>
  <c r="K422" i="3"/>
  <c r="H422" i="3"/>
  <c r="G422" i="3"/>
  <c r="E422" i="3"/>
  <c r="A422" i="3"/>
  <c r="K421" i="3"/>
  <c r="H421" i="3"/>
  <c r="G421" i="3"/>
  <c r="E421" i="3"/>
  <c r="A421" i="3"/>
  <c r="K420" i="3"/>
  <c r="H420" i="3"/>
  <c r="G420" i="3"/>
  <c r="E420" i="3"/>
  <c r="A420" i="3"/>
  <c r="K419" i="3"/>
  <c r="H419" i="3"/>
  <c r="G419" i="3"/>
  <c r="E419" i="3"/>
  <c r="A419" i="3"/>
  <c r="K418" i="3"/>
  <c r="H418" i="3"/>
  <c r="G418" i="3"/>
  <c r="E418" i="3"/>
  <c r="A418" i="3"/>
  <c r="K417" i="3"/>
  <c r="H417" i="3"/>
  <c r="G417" i="3"/>
  <c r="E417" i="3"/>
  <c r="A417" i="3"/>
  <c r="K416" i="3"/>
  <c r="H416" i="3"/>
  <c r="G416" i="3"/>
  <c r="E416" i="3"/>
  <c r="A416" i="3"/>
  <c r="K415" i="3"/>
  <c r="H415" i="3"/>
  <c r="G415" i="3"/>
  <c r="E415" i="3"/>
  <c r="A415" i="3"/>
  <c r="K414" i="3"/>
  <c r="H414" i="3"/>
  <c r="G414" i="3"/>
  <c r="E414" i="3"/>
  <c r="A414" i="3"/>
  <c r="K413" i="3"/>
  <c r="H413" i="3"/>
  <c r="G413" i="3"/>
  <c r="E413" i="3"/>
  <c r="A413" i="3"/>
  <c r="K412" i="3"/>
  <c r="H412" i="3"/>
  <c r="G412" i="3"/>
  <c r="E412" i="3"/>
  <c r="A412" i="3"/>
  <c r="K411" i="3"/>
  <c r="H411" i="3"/>
  <c r="G411" i="3"/>
  <c r="E411" i="3"/>
  <c r="A411" i="3"/>
  <c r="K410" i="3"/>
  <c r="H410" i="3"/>
  <c r="G410" i="3"/>
  <c r="E410" i="3"/>
  <c r="A410" i="3"/>
  <c r="K409" i="3"/>
  <c r="H409" i="3"/>
  <c r="G409" i="3"/>
  <c r="E409" i="3"/>
  <c r="A409" i="3"/>
  <c r="K408" i="3"/>
  <c r="H408" i="3"/>
  <c r="G408" i="3"/>
  <c r="E408" i="3"/>
  <c r="A408" i="3"/>
  <c r="K407" i="3"/>
  <c r="H407" i="3"/>
  <c r="G407" i="3"/>
  <c r="E407" i="3"/>
  <c r="A407" i="3"/>
  <c r="K406" i="3"/>
  <c r="H406" i="3"/>
  <c r="G406" i="3"/>
  <c r="E406" i="3"/>
  <c r="A406" i="3"/>
  <c r="K405" i="3"/>
  <c r="H405" i="3"/>
  <c r="G405" i="3"/>
  <c r="E405" i="3"/>
  <c r="A405" i="3"/>
  <c r="K404" i="3"/>
  <c r="H404" i="3"/>
  <c r="G404" i="3"/>
  <c r="E404" i="3"/>
  <c r="A404" i="3"/>
  <c r="K403" i="3"/>
  <c r="H403" i="3"/>
  <c r="G403" i="3"/>
  <c r="E403" i="3"/>
  <c r="A403" i="3"/>
  <c r="K402" i="3"/>
  <c r="H402" i="3"/>
  <c r="G402" i="3"/>
  <c r="E402" i="3"/>
  <c r="A402" i="3"/>
  <c r="K401" i="3"/>
  <c r="H401" i="3"/>
  <c r="G401" i="3"/>
  <c r="E401" i="3"/>
  <c r="A401" i="3"/>
  <c r="K400" i="3"/>
  <c r="H400" i="3"/>
  <c r="G400" i="3"/>
  <c r="E400" i="3"/>
  <c r="A400" i="3"/>
  <c r="K399" i="3"/>
  <c r="H399" i="3"/>
  <c r="G399" i="3"/>
  <c r="E399" i="3"/>
  <c r="A399" i="3"/>
  <c r="K398" i="3"/>
  <c r="H398" i="3"/>
  <c r="G398" i="3"/>
  <c r="E398" i="3"/>
  <c r="A398" i="3"/>
  <c r="K397" i="3"/>
  <c r="H397" i="3"/>
  <c r="G397" i="3"/>
  <c r="E397" i="3"/>
  <c r="A397" i="3"/>
  <c r="K396" i="3"/>
  <c r="H396" i="3"/>
  <c r="G396" i="3"/>
  <c r="E396" i="3"/>
  <c r="A396" i="3"/>
  <c r="K395" i="3"/>
  <c r="H395" i="3"/>
  <c r="G395" i="3"/>
  <c r="E395" i="3"/>
  <c r="A395" i="3"/>
  <c r="K394" i="3"/>
  <c r="H394" i="3"/>
  <c r="G394" i="3"/>
  <c r="E394" i="3"/>
  <c r="A394" i="3"/>
  <c r="K393" i="3"/>
  <c r="H393" i="3"/>
  <c r="G393" i="3"/>
  <c r="E393" i="3"/>
  <c r="A393" i="3"/>
  <c r="K392" i="3"/>
  <c r="H392" i="3"/>
  <c r="G392" i="3"/>
  <c r="E392" i="3"/>
  <c r="A392" i="3"/>
  <c r="K391" i="3"/>
  <c r="H391" i="3"/>
  <c r="G391" i="3"/>
  <c r="E391" i="3"/>
  <c r="A391" i="3"/>
  <c r="K390" i="3"/>
  <c r="H390" i="3"/>
  <c r="G390" i="3"/>
  <c r="E390" i="3"/>
  <c r="A390" i="3"/>
  <c r="K389" i="3"/>
  <c r="H389" i="3"/>
  <c r="G389" i="3"/>
  <c r="E389" i="3"/>
  <c r="A389" i="3"/>
  <c r="K388" i="3"/>
  <c r="H388" i="3"/>
  <c r="G388" i="3"/>
  <c r="E388" i="3"/>
  <c r="A388" i="3"/>
  <c r="K387" i="3"/>
  <c r="H387" i="3"/>
  <c r="G387" i="3"/>
  <c r="E387" i="3"/>
  <c r="A387" i="3"/>
  <c r="K386" i="3"/>
  <c r="H386" i="3"/>
  <c r="G386" i="3"/>
  <c r="E386" i="3"/>
  <c r="A386" i="3"/>
  <c r="K385" i="3"/>
  <c r="H385" i="3"/>
  <c r="G385" i="3"/>
  <c r="E385" i="3"/>
  <c r="A385" i="3"/>
  <c r="K384" i="3"/>
  <c r="H384" i="3"/>
  <c r="G384" i="3"/>
  <c r="E384" i="3"/>
  <c r="A384" i="3"/>
  <c r="K383" i="3"/>
  <c r="H383" i="3"/>
  <c r="G383" i="3"/>
  <c r="E383" i="3"/>
  <c r="A383" i="3"/>
  <c r="K382" i="3"/>
  <c r="H382" i="3"/>
  <c r="G382" i="3"/>
  <c r="E382" i="3"/>
  <c r="A382" i="3"/>
  <c r="K381" i="3"/>
  <c r="H381" i="3"/>
  <c r="G381" i="3"/>
  <c r="E381" i="3"/>
  <c r="A381" i="3"/>
  <c r="K380" i="3"/>
  <c r="H380" i="3"/>
  <c r="G380" i="3"/>
  <c r="E380" i="3"/>
  <c r="A380" i="3"/>
  <c r="K379" i="3"/>
  <c r="H379" i="3"/>
  <c r="G379" i="3"/>
  <c r="E379" i="3"/>
  <c r="A379" i="3"/>
  <c r="K378" i="3"/>
  <c r="H378" i="3"/>
  <c r="G378" i="3"/>
  <c r="E378" i="3"/>
  <c r="A378" i="3"/>
  <c r="K377" i="3"/>
  <c r="H377" i="3"/>
  <c r="G377" i="3"/>
  <c r="E377" i="3"/>
  <c r="A377" i="3"/>
  <c r="K376" i="3"/>
  <c r="H376" i="3"/>
  <c r="G376" i="3"/>
  <c r="E376" i="3"/>
  <c r="A376" i="3"/>
  <c r="K375" i="3"/>
  <c r="H375" i="3"/>
  <c r="G375" i="3"/>
  <c r="E375" i="3"/>
  <c r="A375" i="3"/>
  <c r="K374" i="3"/>
  <c r="H374" i="3"/>
  <c r="G374" i="3"/>
  <c r="E374" i="3"/>
  <c r="A374" i="3"/>
  <c r="K373" i="3"/>
  <c r="H373" i="3"/>
  <c r="G373" i="3"/>
  <c r="E373" i="3"/>
  <c r="A373" i="3"/>
  <c r="K372" i="3"/>
  <c r="H372" i="3"/>
  <c r="G372" i="3"/>
  <c r="E372" i="3"/>
  <c r="A372" i="3"/>
  <c r="K371" i="3"/>
  <c r="H371" i="3"/>
  <c r="G371" i="3"/>
  <c r="E371" i="3"/>
  <c r="A371" i="3"/>
  <c r="K370" i="3"/>
  <c r="H370" i="3"/>
  <c r="G370" i="3"/>
  <c r="E370" i="3"/>
  <c r="A370" i="3"/>
  <c r="K369" i="3"/>
  <c r="H369" i="3"/>
  <c r="G369" i="3"/>
  <c r="E369" i="3"/>
  <c r="A369" i="3"/>
  <c r="K368" i="3"/>
  <c r="H368" i="3"/>
  <c r="G368" i="3"/>
  <c r="E368" i="3"/>
  <c r="A368" i="3"/>
  <c r="K367" i="3"/>
  <c r="H367" i="3"/>
  <c r="G367" i="3"/>
  <c r="E367" i="3"/>
  <c r="A367" i="3"/>
  <c r="K366" i="3"/>
  <c r="H366" i="3"/>
  <c r="G366" i="3"/>
  <c r="E366" i="3"/>
  <c r="A366" i="3"/>
  <c r="K365" i="3"/>
  <c r="H365" i="3"/>
  <c r="G365" i="3"/>
  <c r="E365" i="3"/>
  <c r="A365" i="3"/>
  <c r="K364" i="3"/>
  <c r="H364" i="3"/>
  <c r="G364" i="3"/>
  <c r="E364" i="3"/>
  <c r="A364" i="3"/>
  <c r="K363" i="3"/>
  <c r="H363" i="3"/>
  <c r="G363" i="3"/>
  <c r="E363" i="3"/>
  <c r="A363" i="3"/>
  <c r="K362" i="3"/>
  <c r="H362" i="3"/>
  <c r="G362" i="3"/>
  <c r="E362" i="3"/>
  <c r="A362" i="3"/>
  <c r="K361" i="3"/>
  <c r="H361" i="3"/>
  <c r="G361" i="3"/>
  <c r="E361" i="3"/>
  <c r="A361" i="3"/>
  <c r="K360" i="3"/>
  <c r="H360" i="3"/>
  <c r="G360" i="3"/>
  <c r="E360" i="3"/>
  <c r="A360" i="3"/>
  <c r="K359" i="3"/>
  <c r="H359" i="3"/>
  <c r="G359" i="3"/>
  <c r="E359" i="3"/>
  <c r="A359" i="3"/>
  <c r="K358" i="3"/>
  <c r="H358" i="3"/>
  <c r="G358" i="3"/>
  <c r="E358" i="3"/>
  <c r="A358" i="3"/>
  <c r="K357" i="3"/>
  <c r="H357" i="3"/>
  <c r="G357" i="3"/>
  <c r="E357" i="3"/>
  <c r="A357" i="3"/>
  <c r="K356" i="3"/>
  <c r="H356" i="3"/>
  <c r="G356" i="3"/>
  <c r="E356" i="3"/>
  <c r="A356" i="3"/>
  <c r="K355" i="3"/>
  <c r="H355" i="3"/>
  <c r="G355" i="3"/>
  <c r="E355" i="3"/>
  <c r="A355" i="3"/>
  <c r="K354" i="3"/>
  <c r="H354" i="3"/>
  <c r="G354" i="3"/>
  <c r="E354" i="3"/>
  <c r="A354" i="3"/>
  <c r="K353" i="3"/>
  <c r="H353" i="3"/>
  <c r="G353" i="3"/>
  <c r="E353" i="3"/>
  <c r="A353" i="3"/>
  <c r="K352" i="3"/>
  <c r="H352" i="3"/>
  <c r="G352" i="3"/>
  <c r="E352" i="3"/>
  <c r="A352" i="3"/>
  <c r="K351" i="3"/>
  <c r="H351" i="3"/>
  <c r="G351" i="3"/>
  <c r="E351" i="3"/>
  <c r="A351" i="3"/>
  <c r="K350" i="3"/>
  <c r="H350" i="3"/>
  <c r="G350" i="3"/>
  <c r="E350" i="3"/>
  <c r="A350" i="3"/>
  <c r="K349" i="3"/>
  <c r="H349" i="3"/>
  <c r="G349" i="3"/>
  <c r="E349" i="3"/>
  <c r="A349" i="3"/>
  <c r="K348" i="3"/>
  <c r="H348" i="3"/>
  <c r="G348" i="3"/>
  <c r="E348" i="3"/>
  <c r="A348" i="3"/>
  <c r="K347" i="3"/>
  <c r="H347" i="3"/>
  <c r="G347" i="3"/>
  <c r="E347" i="3"/>
  <c r="A347" i="3"/>
  <c r="K346" i="3"/>
  <c r="H346" i="3"/>
  <c r="G346" i="3"/>
  <c r="E346" i="3"/>
  <c r="A346" i="3"/>
  <c r="K345" i="3"/>
  <c r="H345" i="3"/>
  <c r="G345" i="3"/>
  <c r="E345" i="3"/>
  <c r="A345" i="3"/>
  <c r="K344" i="3"/>
  <c r="H344" i="3"/>
  <c r="G344" i="3"/>
  <c r="E344" i="3"/>
  <c r="A344" i="3"/>
  <c r="K343" i="3"/>
  <c r="H343" i="3"/>
  <c r="G343" i="3"/>
  <c r="E343" i="3"/>
  <c r="A343" i="3"/>
  <c r="K342" i="3"/>
  <c r="H342" i="3"/>
  <c r="G342" i="3"/>
  <c r="E342" i="3"/>
  <c r="A342" i="3"/>
  <c r="K341" i="3"/>
  <c r="H341" i="3"/>
  <c r="G341" i="3"/>
  <c r="E341" i="3"/>
  <c r="A341" i="3"/>
  <c r="K340" i="3"/>
  <c r="H340" i="3"/>
  <c r="G340" i="3"/>
  <c r="E340" i="3"/>
  <c r="A340" i="3"/>
  <c r="K339" i="3"/>
  <c r="H339" i="3"/>
  <c r="G339" i="3"/>
  <c r="E339" i="3"/>
  <c r="A339" i="3"/>
  <c r="K338" i="3"/>
  <c r="H338" i="3"/>
  <c r="G338" i="3"/>
  <c r="E338" i="3"/>
  <c r="A338" i="3"/>
  <c r="K337" i="3"/>
  <c r="H337" i="3"/>
  <c r="G337" i="3"/>
  <c r="E337" i="3"/>
  <c r="A337" i="3"/>
  <c r="K336" i="3"/>
  <c r="H336" i="3"/>
  <c r="G336" i="3"/>
  <c r="E336" i="3"/>
  <c r="A336" i="3"/>
  <c r="K335" i="3"/>
  <c r="H335" i="3"/>
  <c r="G335" i="3"/>
  <c r="E335" i="3"/>
  <c r="A335" i="3"/>
  <c r="K334" i="3"/>
  <c r="H334" i="3"/>
  <c r="G334" i="3"/>
  <c r="E334" i="3"/>
  <c r="A334" i="3"/>
  <c r="K333" i="3"/>
  <c r="H333" i="3"/>
  <c r="G333" i="3"/>
  <c r="E333" i="3"/>
  <c r="A333" i="3"/>
  <c r="K332" i="3"/>
  <c r="H332" i="3"/>
  <c r="G332" i="3"/>
  <c r="E332" i="3"/>
  <c r="A332" i="3"/>
  <c r="K331" i="3"/>
  <c r="H331" i="3"/>
  <c r="G331" i="3"/>
  <c r="E331" i="3"/>
  <c r="A331" i="3"/>
  <c r="K330" i="3"/>
  <c r="H330" i="3"/>
  <c r="G330" i="3"/>
  <c r="E330" i="3"/>
  <c r="A330" i="3"/>
  <c r="K329" i="3"/>
  <c r="H329" i="3"/>
  <c r="G329" i="3"/>
  <c r="E329" i="3"/>
  <c r="A329" i="3"/>
  <c r="K328" i="3"/>
  <c r="H328" i="3"/>
  <c r="G328" i="3"/>
  <c r="E328" i="3"/>
  <c r="A328" i="3"/>
  <c r="K327" i="3"/>
  <c r="H327" i="3"/>
  <c r="G327" i="3"/>
  <c r="E327" i="3"/>
  <c r="A327" i="3"/>
  <c r="K326" i="3"/>
  <c r="H326" i="3"/>
  <c r="G326" i="3"/>
  <c r="E326" i="3"/>
  <c r="A326" i="3"/>
  <c r="K325" i="3"/>
  <c r="H325" i="3"/>
  <c r="G325" i="3"/>
  <c r="E325" i="3"/>
  <c r="A325" i="3"/>
  <c r="K324" i="3"/>
  <c r="H324" i="3"/>
  <c r="G324" i="3"/>
  <c r="E324" i="3"/>
  <c r="A324" i="3"/>
  <c r="K323" i="3"/>
  <c r="H323" i="3"/>
  <c r="G323" i="3"/>
  <c r="E323" i="3"/>
  <c r="A323" i="3"/>
  <c r="K322" i="3"/>
  <c r="H322" i="3"/>
  <c r="G322" i="3"/>
  <c r="E322" i="3"/>
  <c r="A322" i="3"/>
  <c r="K321" i="3"/>
  <c r="H321" i="3"/>
  <c r="G321" i="3"/>
  <c r="E321" i="3"/>
  <c r="A321" i="3"/>
  <c r="K320" i="3"/>
  <c r="H320" i="3"/>
  <c r="G320" i="3"/>
  <c r="E320" i="3"/>
  <c r="A320" i="3"/>
  <c r="K319" i="3"/>
  <c r="H319" i="3"/>
  <c r="G319" i="3"/>
  <c r="E319" i="3"/>
  <c r="A319" i="3"/>
  <c r="K318" i="3"/>
  <c r="H318" i="3"/>
  <c r="G318" i="3"/>
  <c r="E318" i="3"/>
  <c r="A318" i="3"/>
  <c r="K317" i="3"/>
  <c r="H317" i="3"/>
  <c r="G317" i="3"/>
  <c r="E317" i="3"/>
  <c r="A317" i="3"/>
  <c r="K316" i="3"/>
  <c r="H316" i="3"/>
  <c r="G316" i="3"/>
  <c r="E316" i="3"/>
  <c r="A316" i="3"/>
  <c r="K315" i="3"/>
  <c r="H315" i="3"/>
  <c r="G315" i="3"/>
  <c r="E315" i="3"/>
  <c r="A315" i="3"/>
  <c r="K314" i="3"/>
  <c r="H314" i="3"/>
  <c r="G314" i="3"/>
  <c r="E314" i="3"/>
  <c r="A314" i="3"/>
  <c r="K313" i="3"/>
  <c r="H313" i="3"/>
  <c r="G313" i="3"/>
  <c r="E313" i="3"/>
  <c r="A313" i="3"/>
  <c r="K312" i="3"/>
  <c r="H312" i="3"/>
  <c r="G312" i="3"/>
  <c r="E312" i="3"/>
  <c r="A312" i="3"/>
  <c r="K311" i="3"/>
  <c r="H311" i="3"/>
  <c r="G311" i="3"/>
  <c r="E311" i="3"/>
  <c r="A311" i="3"/>
  <c r="K310" i="3"/>
  <c r="H310" i="3"/>
  <c r="G310" i="3"/>
  <c r="E310" i="3"/>
  <c r="A310" i="3"/>
  <c r="K309" i="3"/>
  <c r="H309" i="3"/>
  <c r="G309" i="3"/>
  <c r="E309" i="3"/>
  <c r="A309" i="3"/>
  <c r="K308" i="3"/>
  <c r="H308" i="3"/>
  <c r="G308" i="3"/>
  <c r="E308" i="3"/>
  <c r="A308" i="3"/>
  <c r="K307" i="3"/>
  <c r="H307" i="3"/>
  <c r="G307" i="3"/>
  <c r="E307" i="3"/>
  <c r="A307" i="3"/>
  <c r="K306" i="3"/>
  <c r="H306" i="3"/>
  <c r="G306" i="3"/>
  <c r="E306" i="3"/>
  <c r="A306" i="3"/>
  <c r="K305" i="3"/>
  <c r="H305" i="3"/>
  <c r="G305" i="3"/>
  <c r="E305" i="3"/>
  <c r="A305" i="3"/>
  <c r="K304" i="3"/>
  <c r="H304" i="3"/>
  <c r="G304" i="3"/>
  <c r="E304" i="3"/>
  <c r="A304" i="3"/>
  <c r="K303" i="3"/>
  <c r="H303" i="3"/>
  <c r="G303" i="3"/>
  <c r="E303" i="3"/>
  <c r="A303" i="3"/>
  <c r="K302" i="3"/>
  <c r="H302" i="3"/>
  <c r="G302" i="3"/>
  <c r="E302" i="3"/>
  <c r="A302" i="3"/>
  <c r="K301" i="3"/>
  <c r="H301" i="3"/>
  <c r="G301" i="3"/>
  <c r="E301" i="3"/>
  <c r="A301" i="3"/>
  <c r="K300" i="3"/>
  <c r="H300" i="3"/>
  <c r="G300" i="3"/>
  <c r="E300" i="3"/>
  <c r="A300" i="3"/>
  <c r="K299" i="3"/>
  <c r="H299" i="3"/>
  <c r="G299" i="3"/>
  <c r="E299" i="3"/>
  <c r="A299" i="3"/>
  <c r="K298" i="3"/>
  <c r="H298" i="3"/>
  <c r="G298" i="3"/>
  <c r="E298" i="3"/>
  <c r="A298" i="3"/>
  <c r="K297" i="3"/>
  <c r="H297" i="3"/>
  <c r="G297" i="3"/>
  <c r="E297" i="3"/>
  <c r="A297" i="3"/>
  <c r="K296" i="3"/>
  <c r="H296" i="3"/>
  <c r="G296" i="3"/>
  <c r="E296" i="3"/>
  <c r="A296" i="3"/>
  <c r="K295" i="3"/>
  <c r="H295" i="3"/>
  <c r="G295" i="3"/>
  <c r="E295" i="3"/>
  <c r="A295" i="3"/>
  <c r="K294" i="3"/>
  <c r="H294" i="3"/>
  <c r="G294" i="3"/>
  <c r="E294" i="3"/>
  <c r="A294" i="3"/>
  <c r="K293" i="3"/>
  <c r="H293" i="3"/>
  <c r="G293" i="3"/>
  <c r="E293" i="3"/>
  <c r="A293" i="3"/>
  <c r="K292" i="3"/>
  <c r="H292" i="3"/>
  <c r="G292" i="3"/>
  <c r="E292" i="3"/>
  <c r="A292" i="3"/>
  <c r="K291" i="3"/>
  <c r="H291" i="3"/>
  <c r="G291" i="3"/>
  <c r="E291" i="3"/>
  <c r="A291" i="3"/>
  <c r="K290" i="3"/>
  <c r="H290" i="3"/>
  <c r="G290" i="3"/>
  <c r="E290" i="3"/>
  <c r="A290" i="3"/>
  <c r="K289" i="3"/>
  <c r="H289" i="3"/>
  <c r="G289" i="3"/>
  <c r="E289" i="3"/>
  <c r="A289" i="3"/>
  <c r="K288" i="3"/>
  <c r="H288" i="3"/>
  <c r="G288" i="3"/>
  <c r="E288" i="3"/>
  <c r="A288" i="3"/>
  <c r="K287" i="3"/>
  <c r="H287" i="3"/>
  <c r="G287" i="3"/>
  <c r="E287" i="3"/>
  <c r="A287" i="3"/>
  <c r="K286" i="3"/>
  <c r="H286" i="3"/>
  <c r="G286" i="3"/>
  <c r="E286" i="3"/>
  <c r="A286" i="3"/>
  <c r="K285" i="3"/>
  <c r="H285" i="3"/>
  <c r="G285" i="3"/>
  <c r="E285" i="3"/>
  <c r="A285" i="3"/>
  <c r="K284" i="3"/>
  <c r="H284" i="3"/>
  <c r="G284" i="3"/>
  <c r="E284" i="3"/>
  <c r="A284" i="3"/>
  <c r="K283" i="3"/>
  <c r="H283" i="3"/>
  <c r="G283" i="3"/>
  <c r="E283" i="3"/>
  <c r="A283" i="3"/>
  <c r="K282" i="3"/>
  <c r="H282" i="3"/>
  <c r="G282" i="3"/>
  <c r="E282" i="3"/>
  <c r="A282" i="3"/>
  <c r="K281" i="3"/>
  <c r="H281" i="3"/>
  <c r="G281" i="3"/>
  <c r="E281" i="3"/>
  <c r="A281" i="3"/>
  <c r="K280" i="3"/>
  <c r="H280" i="3"/>
  <c r="G280" i="3"/>
  <c r="E280" i="3"/>
  <c r="A280" i="3"/>
  <c r="K279" i="3"/>
  <c r="H279" i="3"/>
  <c r="G279" i="3"/>
  <c r="E279" i="3"/>
  <c r="A279" i="3"/>
  <c r="K278" i="3"/>
  <c r="H278" i="3"/>
  <c r="G278" i="3"/>
  <c r="E278" i="3"/>
  <c r="A278" i="3"/>
  <c r="K277" i="3"/>
  <c r="H277" i="3"/>
  <c r="G277" i="3"/>
  <c r="E277" i="3"/>
  <c r="A277" i="3"/>
  <c r="K276" i="3"/>
  <c r="H276" i="3"/>
  <c r="G276" i="3"/>
  <c r="E276" i="3"/>
  <c r="A276" i="3"/>
  <c r="K275" i="3"/>
  <c r="H275" i="3"/>
  <c r="G275" i="3"/>
  <c r="E275" i="3"/>
  <c r="A275" i="3"/>
  <c r="K274" i="3"/>
  <c r="H274" i="3"/>
  <c r="G274" i="3"/>
  <c r="E274" i="3"/>
  <c r="A274" i="3"/>
  <c r="K273" i="3"/>
  <c r="H273" i="3"/>
  <c r="G273" i="3"/>
  <c r="E273" i="3"/>
  <c r="A273" i="3"/>
  <c r="K272" i="3"/>
  <c r="H272" i="3"/>
  <c r="G272" i="3"/>
  <c r="E272" i="3"/>
  <c r="A272" i="3"/>
  <c r="K271" i="3"/>
  <c r="H271" i="3"/>
  <c r="G271" i="3"/>
  <c r="E271" i="3"/>
  <c r="A271" i="3"/>
  <c r="K270" i="3"/>
  <c r="H270" i="3"/>
  <c r="G270" i="3"/>
  <c r="E270" i="3"/>
  <c r="A270" i="3"/>
  <c r="K269" i="3"/>
  <c r="H269" i="3"/>
  <c r="G269" i="3"/>
  <c r="E269" i="3"/>
  <c r="A269" i="3"/>
  <c r="K268" i="3"/>
  <c r="H268" i="3"/>
  <c r="G268" i="3"/>
  <c r="E268" i="3"/>
  <c r="A268" i="3"/>
  <c r="K267" i="3"/>
  <c r="H267" i="3"/>
  <c r="G267" i="3"/>
  <c r="E267" i="3"/>
  <c r="A267" i="3"/>
  <c r="K266" i="3"/>
  <c r="H266" i="3"/>
  <c r="G266" i="3"/>
  <c r="E266" i="3"/>
  <c r="A266" i="3"/>
  <c r="K265" i="3"/>
  <c r="H265" i="3"/>
  <c r="G265" i="3"/>
  <c r="E265" i="3"/>
  <c r="A265" i="3"/>
  <c r="K264" i="3"/>
  <c r="H264" i="3"/>
  <c r="G264" i="3"/>
  <c r="E264" i="3"/>
  <c r="A264" i="3"/>
  <c r="K263" i="3"/>
  <c r="H263" i="3"/>
  <c r="G263" i="3"/>
  <c r="E263" i="3"/>
  <c r="A263" i="3"/>
  <c r="K262" i="3"/>
  <c r="H262" i="3"/>
  <c r="G262" i="3"/>
  <c r="E262" i="3"/>
  <c r="A262" i="3"/>
  <c r="K261" i="3"/>
  <c r="H261" i="3"/>
  <c r="G261" i="3"/>
  <c r="E261" i="3"/>
  <c r="A261" i="3"/>
  <c r="K260" i="3"/>
  <c r="H260" i="3"/>
  <c r="G260" i="3"/>
  <c r="E260" i="3"/>
  <c r="A260" i="3"/>
  <c r="K259" i="3"/>
  <c r="H259" i="3"/>
  <c r="G259" i="3"/>
  <c r="E259" i="3"/>
  <c r="A259" i="3"/>
  <c r="K258" i="3"/>
  <c r="H258" i="3"/>
  <c r="G258" i="3"/>
  <c r="E258" i="3"/>
  <c r="A258" i="3"/>
  <c r="K257" i="3"/>
  <c r="H257" i="3"/>
  <c r="G257" i="3"/>
  <c r="E257" i="3"/>
  <c r="A257" i="3"/>
  <c r="K256" i="3"/>
  <c r="H256" i="3"/>
  <c r="G256" i="3"/>
  <c r="E256" i="3"/>
  <c r="A256" i="3"/>
  <c r="K255" i="3"/>
  <c r="H255" i="3"/>
  <c r="G255" i="3"/>
  <c r="E255" i="3"/>
  <c r="A255" i="3"/>
  <c r="K254" i="3"/>
  <c r="H254" i="3"/>
  <c r="G254" i="3"/>
  <c r="E254" i="3"/>
  <c r="A254" i="3"/>
  <c r="K253" i="3"/>
  <c r="H253" i="3"/>
  <c r="G253" i="3"/>
  <c r="E253" i="3"/>
  <c r="A253" i="3"/>
  <c r="K252" i="3"/>
  <c r="H252" i="3"/>
  <c r="G252" i="3"/>
  <c r="E252" i="3"/>
  <c r="A252" i="3"/>
  <c r="K251" i="3"/>
  <c r="H251" i="3"/>
  <c r="G251" i="3"/>
  <c r="E251" i="3"/>
  <c r="A251" i="3"/>
  <c r="K250" i="3"/>
  <c r="H250" i="3"/>
  <c r="G250" i="3"/>
  <c r="E250" i="3"/>
  <c r="A250" i="3"/>
  <c r="K249" i="3"/>
  <c r="H249" i="3"/>
  <c r="G249" i="3"/>
  <c r="E249" i="3"/>
  <c r="A249" i="3"/>
  <c r="K248" i="3"/>
  <c r="H248" i="3"/>
  <c r="G248" i="3"/>
  <c r="E248" i="3"/>
  <c r="A248" i="3"/>
  <c r="K247" i="3"/>
  <c r="H247" i="3"/>
  <c r="G247" i="3"/>
  <c r="E247" i="3"/>
  <c r="A247" i="3"/>
  <c r="K246" i="3"/>
  <c r="H246" i="3"/>
  <c r="G246" i="3"/>
  <c r="E246" i="3"/>
  <c r="A246" i="3"/>
  <c r="K245" i="3"/>
  <c r="H245" i="3"/>
  <c r="G245" i="3"/>
  <c r="E245" i="3"/>
  <c r="A245" i="3"/>
  <c r="K244" i="3"/>
  <c r="H244" i="3"/>
  <c r="G244" i="3"/>
  <c r="E244" i="3"/>
  <c r="A244" i="3"/>
  <c r="K243" i="3"/>
  <c r="H243" i="3"/>
  <c r="G243" i="3"/>
  <c r="E243" i="3"/>
  <c r="A243" i="3"/>
  <c r="K242" i="3"/>
  <c r="H242" i="3"/>
  <c r="G242" i="3"/>
  <c r="E242" i="3"/>
  <c r="A242" i="3"/>
  <c r="K241" i="3"/>
  <c r="H241" i="3"/>
  <c r="G241" i="3"/>
  <c r="E241" i="3"/>
  <c r="A241" i="3"/>
  <c r="K240" i="3"/>
  <c r="H240" i="3"/>
  <c r="G240" i="3"/>
  <c r="E240" i="3"/>
  <c r="A240" i="3"/>
  <c r="K239" i="3"/>
  <c r="H239" i="3"/>
  <c r="G239" i="3"/>
  <c r="E239" i="3"/>
  <c r="A239" i="3"/>
  <c r="K238" i="3"/>
  <c r="H238" i="3"/>
  <c r="G238" i="3"/>
  <c r="E238" i="3"/>
  <c r="A238" i="3"/>
  <c r="K237" i="3"/>
  <c r="H237" i="3"/>
  <c r="G237" i="3"/>
  <c r="E237" i="3"/>
  <c r="A237" i="3"/>
  <c r="K236" i="3"/>
  <c r="H236" i="3"/>
  <c r="G236" i="3"/>
  <c r="E236" i="3"/>
  <c r="A236" i="3"/>
  <c r="K235" i="3"/>
  <c r="H235" i="3"/>
  <c r="G235" i="3"/>
  <c r="E235" i="3"/>
  <c r="A235" i="3"/>
  <c r="K234" i="3"/>
  <c r="H234" i="3"/>
  <c r="G234" i="3"/>
  <c r="E234" i="3"/>
  <c r="A234" i="3"/>
  <c r="K233" i="3"/>
  <c r="H233" i="3"/>
  <c r="G233" i="3"/>
  <c r="E233" i="3"/>
  <c r="A233" i="3"/>
  <c r="K232" i="3"/>
  <c r="H232" i="3"/>
  <c r="G232" i="3"/>
  <c r="E232" i="3"/>
  <c r="A232" i="3"/>
  <c r="K231" i="3"/>
  <c r="H231" i="3"/>
  <c r="G231" i="3"/>
  <c r="E231" i="3"/>
  <c r="A231" i="3"/>
  <c r="K230" i="3"/>
  <c r="H230" i="3"/>
  <c r="G230" i="3"/>
  <c r="E230" i="3"/>
  <c r="A230" i="3"/>
  <c r="K229" i="3"/>
  <c r="H229" i="3"/>
  <c r="G229" i="3"/>
  <c r="E229" i="3"/>
  <c r="A229" i="3"/>
  <c r="K228" i="3"/>
  <c r="H228" i="3"/>
  <c r="G228" i="3"/>
  <c r="E228" i="3"/>
  <c r="A228" i="3"/>
  <c r="K227" i="3"/>
  <c r="H227" i="3"/>
  <c r="G227" i="3"/>
  <c r="E227" i="3"/>
  <c r="A227" i="3"/>
  <c r="K226" i="3"/>
  <c r="H226" i="3"/>
  <c r="G226" i="3"/>
  <c r="E226" i="3"/>
  <c r="A226" i="3"/>
  <c r="K225" i="3"/>
  <c r="H225" i="3"/>
  <c r="G225" i="3"/>
  <c r="E225" i="3"/>
  <c r="A225" i="3"/>
  <c r="K224" i="3"/>
  <c r="H224" i="3"/>
  <c r="G224" i="3"/>
  <c r="E224" i="3"/>
  <c r="A224" i="3"/>
  <c r="K223" i="3"/>
  <c r="H223" i="3"/>
  <c r="G223" i="3"/>
  <c r="E223" i="3"/>
  <c r="A223" i="3"/>
  <c r="K222" i="3"/>
  <c r="H222" i="3"/>
  <c r="G222" i="3"/>
  <c r="E222" i="3"/>
  <c r="A222" i="3"/>
  <c r="K221" i="3"/>
  <c r="H221" i="3"/>
  <c r="G221" i="3"/>
  <c r="E221" i="3"/>
  <c r="A221" i="3"/>
  <c r="K220" i="3"/>
  <c r="H220" i="3"/>
  <c r="G220" i="3"/>
  <c r="E220" i="3"/>
  <c r="A220" i="3"/>
  <c r="K219" i="3"/>
  <c r="H219" i="3"/>
  <c r="G219" i="3"/>
  <c r="E219" i="3"/>
  <c r="A219" i="3"/>
  <c r="K218" i="3"/>
  <c r="H218" i="3"/>
  <c r="G218" i="3"/>
  <c r="E218" i="3"/>
  <c r="A218" i="3"/>
  <c r="K217" i="3"/>
  <c r="H217" i="3"/>
  <c r="G217" i="3"/>
  <c r="E217" i="3"/>
  <c r="A217" i="3"/>
  <c r="K216" i="3"/>
  <c r="H216" i="3"/>
  <c r="G216" i="3"/>
  <c r="E216" i="3"/>
  <c r="A216" i="3"/>
  <c r="K215" i="3"/>
  <c r="H215" i="3"/>
  <c r="G215" i="3"/>
  <c r="E215" i="3"/>
  <c r="A215" i="3"/>
  <c r="K214" i="3"/>
  <c r="H214" i="3"/>
  <c r="G214" i="3"/>
  <c r="E214" i="3"/>
  <c r="A214" i="3"/>
  <c r="K213" i="3"/>
  <c r="H213" i="3"/>
  <c r="G213" i="3"/>
  <c r="E213" i="3"/>
  <c r="A213" i="3"/>
  <c r="K212" i="3"/>
  <c r="H212" i="3"/>
  <c r="G212" i="3"/>
  <c r="E212" i="3"/>
  <c r="A212" i="3"/>
  <c r="K211" i="3"/>
  <c r="H211" i="3"/>
  <c r="G211" i="3"/>
  <c r="E211" i="3"/>
  <c r="A211" i="3"/>
  <c r="K210" i="3"/>
  <c r="H210" i="3"/>
  <c r="G210" i="3"/>
  <c r="E210" i="3"/>
  <c r="A210" i="3"/>
  <c r="K209" i="3"/>
  <c r="H209" i="3"/>
  <c r="G209" i="3"/>
  <c r="E209" i="3"/>
  <c r="A209" i="3"/>
  <c r="K208" i="3"/>
  <c r="H208" i="3"/>
  <c r="G208" i="3"/>
  <c r="E208" i="3"/>
  <c r="A208" i="3"/>
  <c r="K207" i="3"/>
  <c r="H207" i="3"/>
  <c r="G207" i="3"/>
  <c r="E207" i="3"/>
  <c r="A207" i="3"/>
  <c r="K206" i="3"/>
  <c r="H206" i="3"/>
  <c r="G206" i="3"/>
  <c r="E206" i="3"/>
  <c r="A206" i="3"/>
  <c r="K205" i="3"/>
  <c r="H205" i="3"/>
  <c r="G205" i="3"/>
  <c r="E205" i="3"/>
  <c r="A205" i="3"/>
  <c r="K204" i="3"/>
  <c r="H204" i="3"/>
  <c r="G204" i="3"/>
  <c r="E204" i="3"/>
  <c r="A204" i="3"/>
  <c r="K203" i="3"/>
  <c r="H203" i="3"/>
  <c r="G203" i="3"/>
  <c r="E203" i="3"/>
  <c r="A203" i="3"/>
  <c r="K202" i="3"/>
  <c r="H202" i="3"/>
  <c r="G202" i="3"/>
  <c r="E202" i="3"/>
  <c r="A202" i="3"/>
  <c r="K201" i="3"/>
  <c r="H201" i="3"/>
  <c r="G201" i="3"/>
  <c r="E201" i="3"/>
  <c r="A201" i="3"/>
  <c r="K200" i="3"/>
  <c r="H200" i="3"/>
  <c r="G200" i="3"/>
  <c r="E200" i="3"/>
  <c r="A200" i="3"/>
  <c r="K199" i="3"/>
  <c r="H199" i="3"/>
  <c r="G199" i="3"/>
  <c r="E199" i="3"/>
  <c r="A199" i="3"/>
  <c r="K198" i="3"/>
  <c r="H198" i="3"/>
  <c r="G198" i="3"/>
  <c r="E198" i="3"/>
  <c r="A198" i="3"/>
  <c r="K197" i="3"/>
  <c r="H197" i="3"/>
  <c r="G197" i="3"/>
  <c r="E197" i="3"/>
  <c r="A197" i="3"/>
  <c r="K196" i="3"/>
  <c r="H196" i="3"/>
  <c r="G196" i="3"/>
  <c r="E196" i="3"/>
  <c r="A196" i="3"/>
  <c r="K195" i="3"/>
  <c r="H195" i="3"/>
  <c r="G195" i="3"/>
  <c r="E195" i="3"/>
  <c r="A195" i="3"/>
  <c r="K194" i="3"/>
  <c r="H194" i="3"/>
  <c r="G194" i="3"/>
  <c r="E194" i="3"/>
  <c r="A194" i="3"/>
  <c r="K193" i="3"/>
  <c r="H193" i="3"/>
  <c r="G193" i="3"/>
  <c r="E193" i="3"/>
  <c r="A193" i="3"/>
  <c r="K192" i="3"/>
  <c r="H192" i="3"/>
  <c r="G192" i="3"/>
  <c r="E192" i="3"/>
  <c r="A192" i="3"/>
  <c r="K191" i="3"/>
  <c r="H191" i="3"/>
  <c r="G191" i="3"/>
  <c r="E191" i="3"/>
  <c r="A191" i="3"/>
  <c r="K190" i="3"/>
  <c r="H190" i="3"/>
  <c r="G190" i="3"/>
  <c r="E190" i="3"/>
  <c r="A190" i="3"/>
  <c r="K189" i="3"/>
  <c r="H189" i="3"/>
  <c r="G189" i="3"/>
  <c r="E189" i="3"/>
  <c r="A189" i="3"/>
  <c r="K188" i="3"/>
  <c r="H188" i="3"/>
  <c r="G188" i="3"/>
  <c r="E188" i="3"/>
  <c r="A188" i="3"/>
  <c r="K187" i="3"/>
  <c r="H187" i="3"/>
  <c r="G187" i="3"/>
  <c r="E187" i="3"/>
  <c r="A187" i="3"/>
  <c r="K186" i="3"/>
  <c r="H186" i="3"/>
  <c r="G186" i="3"/>
  <c r="E186" i="3"/>
  <c r="A186" i="3"/>
  <c r="K185" i="3"/>
  <c r="H185" i="3"/>
  <c r="G185" i="3"/>
  <c r="E185" i="3"/>
  <c r="A185" i="3"/>
  <c r="K184" i="3"/>
  <c r="H184" i="3"/>
  <c r="G184" i="3"/>
  <c r="E184" i="3"/>
  <c r="A184" i="3"/>
  <c r="K183" i="3"/>
  <c r="H183" i="3"/>
  <c r="G183" i="3"/>
  <c r="E183" i="3"/>
  <c r="A183" i="3"/>
  <c r="K182" i="3"/>
  <c r="H182" i="3"/>
  <c r="G182" i="3"/>
  <c r="E182" i="3"/>
  <c r="A182" i="3"/>
  <c r="K181" i="3"/>
  <c r="H181" i="3"/>
  <c r="G181" i="3"/>
  <c r="E181" i="3"/>
  <c r="A181" i="3"/>
  <c r="K180" i="3"/>
  <c r="H180" i="3"/>
  <c r="G180" i="3"/>
  <c r="E180" i="3"/>
  <c r="A180" i="3"/>
  <c r="K179" i="3"/>
  <c r="H179" i="3"/>
  <c r="G179" i="3"/>
  <c r="E179" i="3"/>
  <c r="A179" i="3"/>
  <c r="K178" i="3"/>
  <c r="H178" i="3"/>
  <c r="G178" i="3"/>
  <c r="E178" i="3"/>
  <c r="A178" i="3"/>
  <c r="K177" i="3"/>
  <c r="H177" i="3"/>
  <c r="G177" i="3"/>
  <c r="E177" i="3"/>
  <c r="A177" i="3"/>
  <c r="K176" i="3"/>
  <c r="H176" i="3"/>
  <c r="G176" i="3"/>
  <c r="E176" i="3"/>
  <c r="A176" i="3"/>
  <c r="K175" i="3"/>
  <c r="H175" i="3"/>
  <c r="G175" i="3"/>
  <c r="E175" i="3"/>
  <c r="A175" i="3"/>
  <c r="K174" i="3"/>
  <c r="H174" i="3"/>
  <c r="G174" i="3"/>
  <c r="E174" i="3"/>
  <c r="A174" i="3"/>
  <c r="K173" i="3"/>
  <c r="H173" i="3"/>
  <c r="G173" i="3"/>
  <c r="E173" i="3"/>
  <c r="A173" i="3"/>
  <c r="K172" i="3"/>
  <c r="H172" i="3"/>
  <c r="G172" i="3"/>
  <c r="E172" i="3"/>
  <c r="A172" i="3"/>
  <c r="K171" i="3"/>
  <c r="H171" i="3"/>
  <c r="G171" i="3"/>
  <c r="E171" i="3"/>
  <c r="A171" i="3"/>
  <c r="K170" i="3"/>
  <c r="H170" i="3"/>
  <c r="G170" i="3"/>
  <c r="E170" i="3"/>
  <c r="A170" i="3"/>
  <c r="K169" i="3"/>
  <c r="H169" i="3"/>
  <c r="G169" i="3"/>
  <c r="E169" i="3"/>
  <c r="A169" i="3"/>
  <c r="K168" i="3"/>
  <c r="H168" i="3"/>
  <c r="G168" i="3"/>
  <c r="E168" i="3"/>
  <c r="A168" i="3"/>
  <c r="K167" i="3"/>
  <c r="H167" i="3"/>
  <c r="G167" i="3"/>
  <c r="E167" i="3"/>
  <c r="A167" i="3"/>
  <c r="K166" i="3"/>
  <c r="H166" i="3"/>
  <c r="G166" i="3"/>
  <c r="E166" i="3"/>
  <c r="A166" i="3"/>
  <c r="K165" i="3"/>
  <c r="H165" i="3"/>
  <c r="G165" i="3"/>
  <c r="E165" i="3"/>
  <c r="A165" i="3"/>
  <c r="K164" i="3"/>
  <c r="H164" i="3"/>
  <c r="G164" i="3"/>
  <c r="E164" i="3"/>
  <c r="A164" i="3"/>
  <c r="K163" i="3"/>
  <c r="H163" i="3"/>
  <c r="G163" i="3"/>
  <c r="E163" i="3"/>
  <c r="A163" i="3"/>
  <c r="K162" i="3"/>
  <c r="H162" i="3"/>
  <c r="G162" i="3"/>
  <c r="E162" i="3"/>
  <c r="A162" i="3"/>
  <c r="K161" i="3"/>
  <c r="H161" i="3"/>
  <c r="G161" i="3"/>
  <c r="E161" i="3"/>
  <c r="A161" i="3"/>
  <c r="K160" i="3"/>
  <c r="H160" i="3"/>
  <c r="G160" i="3"/>
  <c r="E160" i="3"/>
  <c r="A160" i="3"/>
  <c r="K159" i="3"/>
  <c r="H159" i="3"/>
  <c r="G159" i="3"/>
  <c r="E159" i="3"/>
  <c r="A159" i="3"/>
  <c r="K158" i="3"/>
  <c r="H158" i="3"/>
  <c r="G158" i="3"/>
  <c r="E158" i="3"/>
  <c r="A158" i="3"/>
  <c r="K157" i="3"/>
  <c r="H157" i="3"/>
  <c r="G157" i="3"/>
  <c r="E157" i="3"/>
  <c r="A157" i="3"/>
  <c r="K156" i="3"/>
  <c r="H156" i="3"/>
  <c r="G156" i="3"/>
  <c r="E156" i="3"/>
  <c r="A156" i="3"/>
  <c r="K155" i="3"/>
  <c r="H155" i="3"/>
  <c r="G155" i="3"/>
  <c r="E155" i="3"/>
  <c r="A155" i="3"/>
  <c r="K154" i="3"/>
  <c r="H154" i="3"/>
  <c r="G154" i="3"/>
  <c r="E154" i="3"/>
  <c r="A154" i="3"/>
  <c r="K153" i="3"/>
  <c r="H153" i="3"/>
  <c r="G153" i="3"/>
  <c r="E153" i="3"/>
  <c r="A153" i="3"/>
  <c r="K152" i="3"/>
  <c r="H152" i="3"/>
  <c r="G152" i="3"/>
  <c r="E152" i="3"/>
  <c r="A152" i="3"/>
  <c r="K151" i="3"/>
  <c r="H151" i="3"/>
  <c r="G151" i="3"/>
  <c r="E151" i="3"/>
  <c r="A151" i="3"/>
  <c r="K150" i="3"/>
  <c r="H150" i="3"/>
  <c r="G150" i="3"/>
  <c r="E150" i="3"/>
  <c r="A150" i="3"/>
  <c r="K149" i="3"/>
  <c r="H149" i="3"/>
  <c r="G149" i="3"/>
  <c r="E149" i="3"/>
  <c r="A149" i="3"/>
  <c r="K148" i="3"/>
  <c r="H148" i="3"/>
  <c r="G148" i="3"/>
  <c r="E148" i="3"/>
  <c r="A148" i="3"/>
  <c r="K147" i="3"/>
  <c r="H147" i="3"/>
  <c r="G147" i="3"/>
  <c r="E147" i="3"/>
  <c r="A147" i="3"/>
  <c r="K146" i="3"/>
  <c r="H146" i="3"/>
  <c r="G146" i="3"/>
  <c r="E146" i="3"/>
  <c r="A146" i="3"/>
  <c r="K145" i="3"/>
  <c r="H145" i="3"/>
  <c r="G145" i="3"/>
  <c r="E145" i="3"/>
  <c r="A145" i="3"/>
  <c r="K144" i="3"/>
  <c r="H144" i="3"/>
  <c r="G144" i="3"/>
  <c r="E144" i="3"/>
  <c r="A144" i="3"/>
  <c r="K143" i="3"/>
  <c r="H143" i="3"/>
  <c r="G143" i="3"/>
  <c r="E143" i="3"/>
  <c r="A143" i="3"/>
  <c r="K142" i="3"/>
  <c r="H142" i="3"/>
  <c r="G142" i="3"/>
  <c r="E142" i="3"/>
  <c r="A142" i="3"/>
  <c r="K141" i="3"/>
  <c r="H141" i="3"/>
  <c r="G141" i="3"/>
  <c r="E141" i="3"/>
  <c r="A141" i="3"/>
  <c r="K140" i="3"/>
  <c r="H140" i="3"/>
  <c r="G140" i="3"/>
  <c r="E140" i="3"/>
  <c r="A140" i="3"/>
  <c r="K139" i="3"/>
  <c r="H139" i="3"/>
  <c r="G139" i="3"/>
  <c r="E139" i="3"/>
  <c r="A139" i="3"/>
  <c r="K138" i="3"/>
  <c r="H138" i="3"/>
  <c r="G138" i="3"/>
  <c r="E138" i="3"/>
  <c r="A138" i="3"/>
  <c r="K137" i="3"/>
  <c r="H137" i="3"/>
  <c r="G137" i="3"/>
  <c r="E137" i="3"/>
  <c r="A137" i="3"/>
  <c r="K136" i="3"/>
  <c r="H136" i="3"/>
  <c r="G136" i="3"/>
  <c r="E136" i="3"/>
  <c r="A136" i="3"/>
  <c r="K135" i="3"/>
  <c r="H135" i="3"/>
  <c r="G135" i="3"/>
  <c r="E135" i="3"/>
  <c r="A135" i="3"/>
  <c r="K134" i="3"/>
  <c r="H134" i="3"/>
  <c r="G134" i="3"/>
  <c r="E134" i="3"/>
  <c r="A134" i="3"/>
  <c r="K133" i="3"/>
  <c r="H133" i="3"/>
  <c r="G133" i="3"/>
  <c r="E133" i="3"/>
  <c r="A133" i="3"/>
  <c r="K132" i="3"/>
  <c r="H132" i="3"/>
  <c r="G132" i="3"/>
  <c r="E132" i="3"/>
  <c r="A132" i="3"/>
  <c r="K131" i="3"/>
  <c r="H131" i="3"/>
  <c r="G131" i="3"/>
  <c r="E131" i="3"/>
  <c r="A131" i="3"/>
  <c r="K130" i="3"/>
  <c r="H130" i="3"/>
  <c r="G130" i="3"/>
  <c r="E130" i="3"/>
  <c r="A130" i="3"/>
  <c r="K129" i="3"/>
  <c r="H129" i="3"/>
  <c r="G129" i="3"/>
  <c r="E129" i="3"/>
  <c r="A129" i="3"/>
  <c r="K128" i="3"/>
  <c r="H128" i="3"/>
  <c r="G128" i="3"/>
  <c r="E128" i="3"/>
  <c r="A128" i="3"/>
  <c r="K127" i="3"/>
  <c r="H127" i="3"/>
  <c r="G127" i="3"/>
  <c r="E127" i="3"/>
  <c r="A127" i="3"/>
  <c r="K126" i="3"/>
  <c r="H126" i="3"/>
  <c r="G126" i="3"/>
  <c r="E126" i="3"/>
  <c r="A126" i="3"/>
  <c r="K125" i="3"/>
  <c r="H125" i="3"/>
  <c r="G125" i="3"/>
  <c r="E125" i="3"/>
  <c r="A125" i="3"/>
  <c r="K124" i="3"/>
  <c r="H124" i="3"/>
  <c r="G124" i="3"/>
  <c r="E124" i="3"/>
  <c r="A124" i="3"/>
  <c r="K123" i="3"/>
  <c r="H123" i="3"/>
  <c r="G123" i="3"/>
  <c r="E123" i="3"/>
  <c r="A123" i="3"/>
  <c r="K122" i="3"/>
  <c r="H122" i="3"/>
  <c r="G122" i="3"/>
  <c r="E122" i="3"/>
  <c r="A122" i="3"/>
  <c r="K121" i="3"/>
  <c r="H121" i="3"/>
  <c r="G121" i="3"/>
  <c r="E121" i="3"/>
  <c r="A121" i="3"/>
  <c r="K120" i="3"/>
  <c r="H120" i="3"/>
  <c r="G120" i="3"/>
  <c r="E120" i="3"/>
  <c r="A120" i="3"/>
  <c r="K119" i="3"/>
  <c r="H119" i="3"/>
  <c r="G119" i="3"/>
  <c r="E119" i="3"/>
  <c r="A119" i="3"/>
  <c r="K118" i="3"/>
  <c r="H118" i="3"/>
  <c r="G118" i="3"/>
  <c r="E118" i="3"/>
  <c r="A118" i="3"/>
  <c r="K117" i="3"/>
  <c r="H117" i="3"/>
  <c r="G117" i="3"/>
  <c r="E117" i="3"/>
  <c r="A117" i="3"/>
  <c r="K116" i="3"/>
  <c r="H116" i="3"/>
  <c r="G116" i="3"/>
  <c r="E116" i="3"/>
  <c r="A116" i="3"/>
  <c r="K115" i="3"/>
  <c r="H115" i="3"/>
  <c r="G115" i="3"/>
  <c r="E115" i="3"/>
  <c r="A115" i="3"/>
  <c r="K114" i="3"/>
  <c r="H114" i="3"/>
  <c r="G114" i="3"/>
  <c r="E114" i="3"/>
  <c r="A114" i="3"/>
  <c r="K113" i="3"/>
  <c r="H113" i="3"/>
  <c r="G113" i="3"/>
  <c r="E113" i="3"/>
  <c r="A113" i="3"/>
  <c r="K112" i="3"/>
  <c r="H112" i="3"/>
  <c r="G112" i="3"/>
  <c r="E112" i="3"/>
  <c r="A112" i="3"/>
  <c r="K111" i="3"/>
  <c r="H111" i="3"/>
  <c r="G111" i="3"/>
  <c r="E111" i="3"/>
  <c r="A111" i="3"/>
  <c r="K110" i="3"/>
  <c r="H110" i="3"/>
  <c r="G110" i="3"/>
  <c r="E110" i="3"/>
  <c r="A110" i="3"/>
  <c r="K109" i="3"/>
  <c r="H109" i="3"/>
  <c r="G109" i="3"/>
  <c r="E109" i="3"/>
  <c r="A109" i="3"/>
  <c r="K108" i="3"/>
  <c r="H108" i="3"/>
  <c r="G108" i="3"/>
  <c r="E108" i="3"/>
  <c r="A108" i="3"/>
  <c r="K107" i="3"/>
  <c r="H107" i="3"/>
  <c r="G107" i="3"/>
  <c r="E107" i="3"/>
  <c r="A107" i="3"/>
  <c r="K106" i="3"/>
  <c r="H106" i="3"/>
  <c r="G106" i="3"/>
  <c r="E106" i="3"/>
  <c r="A106" i="3"/>
  <c r="K105" i="3"/>
  <c r="H105" i="3"/>
  <c r="G105" i="3"/>
  <c r="E105" i="3"/>
  <c r="A105" i="3"/>
  <c r="K104" i="3"/>
  <c r="H104" i="3"/>
  <c r="G104" i="3"/>
  <c r="E104" i="3"/>
  <c r="A104" i="3"/>
  <c r="K103" i="3"/>
  <c r="H103" i="3"/>
  <c r="G103" i="3"/>
  <c r="E103" i="3"/>
  <c r="A103" i="3"/>
  <c r="K102" i="3"/>
  <c r="H102" i="3"/>
  <c r="G102" i="3"/>
  <c r="E102" i="3"/>
  <c r="A102" i="3"/>
  <c r="K101" i="3"/>
  <c r="H101" i="3"/>
  <c r="G101" i="3"/>
  <c r="E101" i="3"/>
  <c r="A101" i="3"/>
  <c r="K100" i="3"/>
  <c r="H100" i="3"/>
  <c r="G100" i="3"/>
  <c r="E100" i="3"/>
  <c r="A100" i="3"/>
  <c r="K99" i="3"/>
  <c r="H99" i="3"/>
  <c r="G99" i="3"/>
  <c r="E99" i="3"/>
  <c r="A99" i="3"/>
  <c r="K98" i="3"/>
  <c r="H98" i="3"/>
  <c r="G98" i="3"/>
  <c r="E98" i="3"/>
  <c r="A98" i="3"/>
  <c r="K97" i="3"/>
  <c r="H97" i="3"/>
  <c r="G97" i="3"/>
  <c r="E97" i="3"/>
  <c r="A97" i="3"/>
  <c r="K96" i="3"/>
  <c r="H96" i="3"/>
  <c r="G96" i="3"/>
  <c r="E96" i="3"/>
  <c r="A96" i="3"/>
  <c r="K95" i="3"/>
  <c r="H95" i="3"/>
  <c r="G95" i="3"/>
  <c r="E95" i="3"/>
  <c r="A95" i="3"/>
  <c r="K94" i="3"/>
  <c r="H94" i="3"/>
  <c r="G94" i="3"/>
  <c r="E94" i="3"/>
  <c r="A94" i="3"/>
  <c r="K93" i="3"/>
  <c r="H93" i="3"/>
  <c r="G93" i="3"/>
  <c r="E93" i="3"/>
  <c r="A93" i="3"/>
  <c r="K92" i="3"/>
  <c r="H92" i="3"/>
  <c r="G92" i="3"/>
  <c r="E92" i="3"/>
  <c r="A92" i="3"/>
  <c r="K91" i="3"/>
  <c r="H91" i="3"/>
  <c r="G91" i="3"/>
  <c r="E91" i="3"/>
  <c r="A91" i="3"/>
  <c r="K90" i="3"/>
  <c r="H90" i="3"/>
  <c r="G90" i="3"/>
  <c r="E90" i="3"/>
  <c r="A90" i="3"/>
  <c r="K89" i="3"/>
  <c r="H89" i="3"/>
  <c r="G89" i="3"/>
  <c r="E89" i="3"/>
  <c r="A89" i="3"/>
  <c r="K88" i="3"/>
  <c r="H88" i="3"/>
  <c r="G88" i="3"/>
  <c r="E88" i="3"/>
  <c r="A88" i="3"/>
  <c r="K87" i="3"/>
  <c r="H87" i="3"/>
  <c r="G87" i="3"/>
  <c r="E87" i="3"/>
  <c r="A87" i="3"/>
  <c r="K86" i="3"/>
  <c r="H86" i="3"/>
  <c r="G86" i="3"/>
  <c r="E86" i="3"/>
  <c r="A86" i="3"/>
  <c r="K85" i="3"/>
  <c r="H85" i="3"/>
  <c r="G85" i="3"/>
  <c r="E85" i="3"/>
  <c r="A85" i="3"/>
  <c r="K84" i="3"/>
  <c r="H84" i="3"/>
  <c r="G84" i="3"/>
  <c r="E84" i="3"/>
  <c r="A84" i="3"/>
  <c r="K83" i="3"/>
  <c r="H83" i="3"/>
  <c r="G83" i="3"/>
  <c r="E83" i="3"/>
  <c r="A83" i="3"/>
  <c r="K82" i="3"/>
  <c r="H82" i="3"/>
  <c r="G82" i="3"/>
  <c r="E82" i="3"/>
  <c r="A82" i="3"/>
  <c r="K81" i="3"/>
  <c r="H81" i="3"/>
  <c r="G81" i="3"/>
  <c r="E81" i="3"/>
  <c r="A81" i="3"/>
  <c r="K80" i="3"/>
  <c r="H80" i="3"/>
  <c r="G80" i="3"/>
  <c r="E80" i="3"/>
  <c r="A80" i="3"/>
  <c r="K79" i="3"/>
  <c r="H79" i="3"/>
  <c r="G79" i="3"/>
  <c r="E79" i="3"/>
  <c r="A79" i="3"/>
  <c r="K78" i="3"/>
  <c r="H78" i="3"/>
  <c r="G78" i="3"/>
  <c r="E78" i="3"/>
  <c r="A78" i="3"/>
  <c r="K77" i="3"/>
  <c r="H77" i="3"/>
  <c r="G77" i="3"/>
  <c r="E77" i="3"/>
  <c r="A77" i="3"/>
  <c r="K76" i="3"/>
  <c r="H76" i="3"/>
  <c r="G76" i="3"/>
  <c r="E76" i="3"/>
  <c r="A76" i="3"/>
  <c r="K75" i="3"/>
  <c r="H75" i="3"/>
  <c r="G75" i="3"/>
  <c r="E75" i="3"/>
  <c r="A75" i="3"/>
  <c r="K74" i="3"/>
  <c r="H74" i="3"/>
  <c r="G74" i="3"/>
  <c r="E74" i="3"/>
  <c r="A74" i="3"/>
  <c r="K73" i="3"/>
  <c r="H73" i="3"/>
  <c r="G73" i="3"/>
  <c r="E73" i="3"/>
  <c r="A73" i="3"/>
  <c r="K72" i="3"/>
  <c r="H72" i="3"/>
  <c r="G72" i="3"/>
  <c r="E72" i="3"/>
  <c r="A72" i="3"/>
  <c r="K71" i="3"/>
  <c r="H71" i="3"/>
  <c r="G71" i="3"/>
  <c r="E71" i="3"/>
  <c r="A71" i="3"/>
  <c r="K70" i="3"/>
  <c r="H70" i="3"/>
  <c r="G70" i="3"/>
  <c r="E70" i="3"/>
  <c r="A70" i="3"/>
  <c r="K69" i="3"/>
  <c r="H69" i="3"/>
  <c r="G69" i="3"/>
  <c r="E69" i="3"/>
  <c r="A69" i="3"/>
  <c r="K68" i="3"/>
  <c r="H68" i="3"/>
  <c r="G68" i="3"/>
  <c r="E68" i="3"/>
  <c r="A68" i="3"/>
  <c r="K67" i="3"/>
  <c r="H67" i="3"/>
  <c r="G67" i="3"/>
  <c r="E67" i="3"/>
  <c r="A67" i="3"/>
  <c r="K66" i="3"/>
  <c r="H66" i="3"/>
  <c r="G66" i="3"/>
  <c r="E66" i="3"/>
  <c r="A66" i="3"/>
  <c r="K65" i="3"/>
  <c r="H65" i="3"/>
  <c r="G65" i="3"/>
  <c r="E65" i="3"/>
  <c r="A65" i="3"/>
  <c r="K64" i="3"/>
  <c r="H64" i="3"/>
  <c r="G64" i="3"/>
  <c r="E64" i="3"/>
  <c r="A64" i="3"/>
  <c r="K63" i="3"/>
  <c r="H63" i="3"/>
  <c r="G63" i="3"/>
  <c r="E63" i="3"/>
  <c r="A63" i="3"/>
  <c r="K62" i="3"/>
  <c r="H62" i="3"/>
  <c r="G62" i="3"/>
  <c r="E62" i="3"/>
  <c r="A62" i="3"/>
  <c r="K61" i="3"/>
  <c r="H61" i="3"/>
  <c r="G61" i="3"/>
  <c r="E61" i="3"/>
  <c r="A61" i="3"/>
  <c r="K60" i="3"/>
  <c r="H60" i="3"/>
  <c r="G60" i="3"/>
  <c r="E60" i="3"/>
  <c r="A60" i="3"/>
  <c r="K59" i="3"/>
  <c r="H59" i="3"/>
  <c r="G59" i="3"/>
  <c r="E59" i="3"/>
  <c r="A59" i="3"/>
  <c r="K58" i="3"/>
  <c r="H58" i="3"/>
  <c r="G58" i="3"/>
  <c r="E58" i="3"/>
  <c r="A58" i="3"/>
  <c r="K57" i="3"/>
  <c r="H57" i="3"/>
  <c r="G57" i="3"/>
  <c r="E57" i="3"/>
  <c r="A57" i="3"/>
  <c r="K56" i="3"/>
  <c r="H56" i="3"/>
  <c r="G56" i="3"/>
  <c r="E56" i="3"/>
  <c r="A56" i="3"/>
  <c r="K55" i="3"/>
  <c r="H55" i="3"/>
  <c r="G55" i="3"/>
  <c r="E55" i="3"/>
  <c r="A55" i="3"/>
  <c r="K54" i="3"/>
  <c r="H54" i="3"/>
  <c r="G54" i="3"/>
  <c r="E54" i="3"/>
  <c r="A54" i="3"/>
  <c r="K53" i="3"/>
  <c r="H53" i="3"/>
  <c r="G53" i="3"/>
  <c r="E53" i="3"/>
  <c r="A53" i="3"/>
  <c r="K52" i="3"/>
  <c r="H52" i="3"/>
  <c r="G52" i="3"/>
  <c r="E52" i="3"/>
  <c r="A52" i="3"/>
  <c r="K51" i="3"/>
  <c r="H51" i="3"/>
  <c r="G51" i="3"/>
  <c r="E51" i="3"/>
  <c r="A51" i="3"/>
  <c r="K50" i="3"/>
  <c r="H50" i="3"/>
  <c r="G50" i="3"/>
  <c r="E50" i="3"/>
  <c r="A50" i="3"/>
  <c r="K49" i="3"/>
  <c r="H49" i="3"/>
  <c r="G49" i="3"/>
  <c r="E49" i="3"/>
  <c r="A49" i="3"/>
  <c r="K48" i="3"/>
  <c r="H48" i="3"/>
  <c r="G48" i="3"/>
  <c r="E48" i="3"/>
  <c r="A48" i="3"/>
  <c r="K47" i="3"/>
  <c r="H47" i="3"/>
  <c r="G47" i="3"/>
  <c r="E47" i="3"/>
  <c r="A47" i="3"/>
  <c r="K46" i="3"/>
  <c r="H46" i="3"/>
  <c r="G46" i="3"/>
  <c r="E46" i="3"/>
  <c r="A46" i="3"/>
  <c r="K45" i="3"/>
  <c r="H45" i="3"/>
  <c r="G45" i="3"/>
  <c r="E45" i="3"/>
  <c r="A45" i="3"/>
  <c r="K44" i="3"/>
  <c r="H44" i="3"/>
  <c r="G44" i="3"/>
  <c r="E44" i="3"/>
  <c r="A44" i="3"/>
  <c r="K43" i="3"/>
  <c r="H43" i="3"/>
  <c r="G43" i="3"/>
  <c r="E43" i="3"/>
  <c r="A43" i="3"/>
  <c r="K42" i="3"/>
  <c r="H42" i="3"/>
  <c r="G42" i="3"/>
  <c r="E42" i="3"/>
  <c r="A42" i="3"/>
  <c r="K41" i="3"/>
  <c r="H41" i="3"/>
  <c r="G41" i="3"/>
  <c r="E41" i="3"/>
  <c r="A41" i="3"/>
  <c r="K40" i="3"/>
  <c r="H40" i="3"/>
  <c r="G40" i="3"/>
  <c r="E40" i="3"/>
  <c r="A40" i="3"/>
  <c r="K39" i="3"/>
  <c r="H39" i="3"/>
  <c r="G39" i="3"/>
  <c r="E39" i="3"/>
  <c r="A39" i="3"/>
  <c r="K38" i="3"/>
  <c r="H38" i="3"/>
  <c r="G38" i="3"/>
  <c r="E38" i="3"/>
  <c r="A38" i="3"/>
  <c r="K37" i="3"/>
  <c r="H37" i="3"/>
  <c r="G37" i="3"/>
  <c r="E37" i="3"/>
  <c r="A37" i="3"/>
  <c r="K36" i="3"/>
  <c r="H36" i="3"/>
  <c r="G36" i="3"/>
  <c r="E36" i="3"/>
  <c r="A36" i="3"/>
  <c r="K35" i="3"/>
  <c r="H35" i="3"/>
  <c r="G35" i="3"/>
  <c r="E35" i="3"/>
  <c r="A35" i="3"/>
  <c r="K34" i="3"/>
  <c r="H34" i="3"/>
  <c r="G34" i="3"/>
  <c r="E34" i="3"/>
  <c r="A34" i="3"/>
  <c r="K33" i="3"/>
  <c r="H33" i="3"/>
  <c r="G33" i="3"/>
  <c r="E33" i="3"/>
  <c r="A33" i="3"/>
  <c r="K32" i="3"/>
  <c r="H32" i="3"/>
  <c r="G32" i="3"/>
  <c r="E32" i="3"/>
  <c r="A32" i="3"/>
  <c r="K31" i="3"/>
  <c r="H31" i="3"/>
  <c r="G31" i="3"/>
  <c r="E31" i="3"/>
  <c r="A31" i="3"/>
  <c r="K30" i="3"/>
  <c r="H30" i="3"/>
  <c r="G30" i="3"/>
  <c r="E30" i="3"/>
  <c r="A30" i="3"/>
  <c r="K29" i="3"/>
  <c r="H29" i="3"/>
  <c r="G29" i="3"/>
  <c r="E29" i="3"/>
  <c r="A29" i="3"/>
  <c r="K28" i="3"/>
  <c r="H28" i="3"/>
  <c r="G28" i="3"/>
  <c r="E28" i="3"/>
  <c r="A28" i="3"/>
  <c r="K27" i="3"/>
  <c r="H27" i="3"/>
  <c r="G27" i="3"/>
  <c r="E27" i="3"/>
  <c r="A27" i="3"/>
  <c r="K26" i="3"/>
  <c r="H26" i="3"/>
  <c r="G26" i="3"/>
  <c r="E26" i="3"/>
  <c r="A26" i="3"/>
  <c r="K25" i="3"/>
  <c r="H25" i="3"/>
  <c r="G25" i="3"/>
  <c r="E25" i="3"/>
  <c r="A25" i="3"/>
  <c r="K24" i="3"/>
  <c r="H24" i="3"/>
  <c r="G24" i="3"/>
  <c r="E24" i="3"/>
  <c r="A24" i="3"/>
  <c r="K23" i="3"/>
  <c r="H23" i="3"/>
  <c r="G23" i="3"/>
  <c r="E23" i="3"/>
  <c r="A23" i="3"/>
  <c r="K22" i="3"/>
  <c r="H22" i="3"/>
  <c r="G22" i="3"/>
  <c r="E22" i="3"/>
  <c r="A22" i="3"/>
  <c r="K21" i="3"/>
  <c r="H21" i="3"/>
  <c r="G21" i="3"/>
  <c r="E21" i="3"/>
  <c r="A21" i="3"/>
  <c r="K20" i="3"/>
  <c r="H20" i="3"/>
  <c r="G20" i="3"/>
  <c r="E20" i="3"/>
  <c r="A20" i="3"/>
  <c r="K19" i="3"/>
  <c r="H19" i="3"/>
  <c r="G19" i="3"/>
  <c r="E19" i="3"/>
  <c r="A19" i="3"/>
  <c r="K18" i="3"/>
  <c r="H18" i="3"/>
  <c r="G18" i="3"/>
  <c r="E18" i="3"/>
  <c r="A18" i="3"/>
  <c r="K17" i="3"/>
  <c r="H17" i="3"/>
  <c r="G17" i="3"/>
  <c r="E17" i="3"/>
  <c r="A17" i="3"/>
  <c r="K16" i="3"/>
  <c r="H16" i="3"/>
  <c r="G16" i="3"/>
  <c r="E16" i="3"/>
  <c r="A16" i="3"/>
  <c r="K15" i="3"/>
  <c r="H15" i="3"/>
  <c r="G15" i="3"/>
  <c r="E15" i="3"/>
  <c r="A15" i="3"/>
  <c r="K14" i="3"/>
  <c r="H14" i="3"/>
  <c r="G14" i="3"/>
  <c r="E14" i="3"/>
  <c r="A14" i="3"/>
  <c r="K13" i="3"/>
  <c r="H13" i="3"/>
  <c r="G13" i="3"/>
  <c r="E13" i="3"/>
  <c r="A13" i="3"/>
  <c r="K12" i="3"/>
  <c r="H12" i="3"/>
  <c r="G12" i="3"/>
  <c r="E12" i="3"/>
  <c r="A12" i="3"/>
  <c r="K11" i="3"/>
  <c r="H11" i="3"/>
  <c r="G11" i="3"/>
  <c r="E11" i="3"/>
  <c r="A11" i="3"/>
  <c r="K10" i="3"/>
  <c r="H10" i="3"/>
  <c r="G10" i="3"/>
  <c r="E10" i="3"/>
  <c r="A10" i="3"/>
  <c r="K9" i="3"/>
  <c r="H9" i="3"/>
  <c r="G9" i="3"/>
  <c r="E9" i="3"/>
  <c r="A9" i="3"/>
  <c r="K8" i="3"/>
  <c r="H8" i="3"/>
  <c r="G8" i="3"/>
  <c r="E8" i="3"/>
  <c r="A8" i="3"/>
  <c r="K7" i="3"/>
  <c r="H7" i="3"/>
  <c r="G7" i="3"/>
  <c r="E7" i="3"/>
  <c r="A7" i="3"/>
  <c r="K6" i="3"/>
  <c r="H6" i="3"/>
  <c r="G6" i="3"/>
  <c r="E6" i="3"/>
  <c r="A6" i="3"/>
  <c r="K5" i="3"/>
  <c r="H5" i="3"/>
  <c r="G5" i="3"/>
  <c r="E5" i="3"/>
  <c r="A5" i="3"/>
  <c r="K4" i="3"/>
  <c r="H4" i="3"/>
  <c r="G4" i="3"/>
  <c r="E4" i="3"/>
  <c r="A4" i="3"/>
  <c r="K3" i="3"/>
  <c r="H3" i="3"/>
  <c r="G3" i="3"/>
  <c r="E3" i="3"/>
  <c r="A3" i="3"/>
  <c r="G2" i="3"/>
  <c r="H2" i="3" s="1"/>
  <c r="K2" i="3" s="1"/>
  <c r="E2" i="3"/>
  <c r="A2" i="3"/>
  <c r="F3" i="4" l="1"/>
  <c r="C8" i="4"/>
  <c r="E10" i="4"/>
  <c r="G12" i="4"/>
  <c r="B15" i="4"/>
  <c r="D17" i="4"/>
  <c r="F19" i="4"/>
  <c r="C24" i="4"/>
  <c r="E26" i="4"/>
  <c r="G28" i="4"/>
  <c r="B31" i="4"/>
  <c r="D33" i="4"/>
  <c r="F35" i="4"/>
  <c r="C40" i="4"/>
  <c r="E42" i="4"/>
  <c r="B47" i="4"/>
  <c r="D49" i="4"/>
  <c r="F51" i="4"/>
  <c r="C56" i="4"/>
  <c r="E58" i="4"/>
  <c r="G60" i="4"/>
  <c r="B63" i="4"/>
  <c r="D65" i="4"/>
  <c r="F67" i="4"/>
  <c r="C72" i="4"/>
  <c r="E74" i="4"/>
  <c r="G76" i="4"/>
  <c r="B79" i="4"/>
  <c r="D81" i="4"/>
  <c r="F83" i="4"/>
  <c r="C88" i="4"/>
  <c r="E90" i="4"/>
  <c r="G92" i="4"/>
  <c r="B95" i="4"/>
  <c r="D97" i="4"/>
  <c r="F99" i="4"/>
  <c r="B6" i="4"/>
  <c r="D8" i="4"/>
  <c r="F10" i="4"/>
  <c r="C15" i="4"/>
  <c r="G19" i="4"/>
  <c r="D24" i="4"/>
  <c r="F26" i="4"/>
  <c r="C31" i="4"/>
  <c r="E33" i="4"/>
  <c r="G35" i="4"/>
  <c r="D40" i="4"/>
  <c r="F42" i="4"/>
  <c r="C47" i="4"/>
  <c r="E49" i="4"/>
  <c r="G51" i="4"/>
  <c r="D56" i="4"/>
  <c r="F58" i="4"/>
  <c r="C63" i="4"/>
  <c r="E65" i="4"/>
  <c r="G67" i="4"/>
  <c r="D72" i="4"/>
  <c r="F74" i="4"/>
  <c r="C79" i="4"/>
  <c r="E81" i="4"/>
  <c r="G83" i="4"/>
  <c r="D88" i="4"/>
  <c r="F90" i="4"/>
  <c r="C95" i="4"/>
  <c r="E97" i="4"/>
  <c r="G99" i="4"/>
  <c r="E8" i="4"/>
  <c r="G10" i="4"/>
  <c r="D15" i="4"/>
  <c r="E24" i="4"/>
  <c r="G26" i="4"/>
  <c r="D31" i="4"/>
  <c r="E40" i="4"/>
  <c r="G42" i="4"/>
  <c r="D47" i="4"/>
  <c r="F49" i="4"/>
  <c r="E56" i="4"/>
  <c r="G58" i="4"/>
  <c r="B61" i="4"/>
  <c r="D63" i="4"/>
  <c r="F65" i="4"/>
  <c r="E72" i="4"/>
  <c r="G74" i="4"/>
  <c r="D79" i="4"/>
  <c r="F81" i="4"/>
  <c r="E88" i="4"/>
  <c r="G90" i="4"/>
  <c r="D95" i="4"/>
  <c r="F97" i="4"/>
  <c r="F8" i="4"/>
  <c r="E15" i="4"/>
  <c r="F24" i="4"/>
  <c r="E31" i="4"/>
  <c r="B36" i="4"/>
  <c r="F40" i="4"/>
  <c r="C45" i="4"/>
  <c r="E47" i="4"/>
  <c r="B52" i="4"/>
  <c r="F56" i="4"/>
  <c r="C61" i="4"/>
  <c r="E63" i="4"/>
  <c r="B68" i="4"/>
  <c r="F72" i="4"/>
  <c r="C77" i="4"/>
  <c r="E79" i="4"/>
  <c r="B84" i="4"/>
  <c r="F88" i="4"/>
  <c r="C93" i="4"/>
  <c r="E95" i="4"/>
  <c r="G97" i="4"/>
  <c r="B100" i="4"/>
  <c r="F15" i="4"/>
  <c r="F31" i="4"/>
  <c r="F47" i="4"/>
  <c r="D61" i="4"/>
  <c r="F63" i="4"/>
  <c r="C68" i="4"/>
  <c r="D77" i="4"/>
  <c r="F79" i="4"/>
  <c r="C84" i="4"/>
  <c r="F95" i="4"/>
  <c r="C100" i="4"/>
  <c r="B2" i="4"/>
  <c r="B18" i="4"/>
  <c r="B34" i="4"/>
  <c r="B50" i="4"/>
  <c r="B66" i="4"/>
  <c r="B82" i="4"/>
  <c r="C91" i="4"/>
  <c r="E93" i="4"/>
  <c r="B98" i="4"/>
  <c r="D100" i="4"/>
  <c r="C2" i="4"/>
  <c r="G2" i="4" s="1"/>
  <c r="C98" i="4"/>
  <c r="E100" i="4"/>
  <c r="D2" i="4"/>
  <c r="B96" i="4"/>
  <c r="D98" i="4"/>
  <c r="F100" i="4"/>
  <c r="B7" i="4"/>
  <c r="B23" i="4"/>
  <c r="C32" i="4"/>
  <c r="B39" i="4"/>
  <c r="B55" i="4"/>
  <c r="B71" i="4"/>
  <c r="B87" i="4"/>
  <c r="C96" i="4"/>
  <c r="E98" i="4"/>
  <c r="F2" i="4"/>
  <c r="C7" i="4"/>
  <c r="B14" i="4"/>
  <c r="D16" i="4"/>
  <c r="C23" i="4"/>
  <c r="B30" i="4"/>
  <c r="D32" i="4"/>
  <c r="C39" i="4"/>
  <c r="B46" i="4"/>
  <c r="D48" i="4"/>
  <c r="C55" i="4"/>
  <c r="B62" i="4"/>
  <c r="D64" i="4"/>
  <c r="C71" i="4"/>
  <c r="B78" i="4"/>
  <c r="C87" i="4"/>
  <c r="B5" i="4"/>
  <c r="D7" i="4"/>
  <c r="C14" i="4"/>
  <c r="E16" i="4"/>
  <c r="B21" i="4"/>
  <c r="D23" i="4"/>
  <c r="C30" i="4"/>
  <c r="E32" i="4"/>
  <c r="B37" i="4"/>
  <c r="D39" i="4"/>
  <c r="C46" i="4"/>
  <c r="E48" i="4"/>
  <c r="B53" i="4"/>
  <c r="D55" i="4"/>
  <c r="C62" i="4"/>
  <c r="E64" i="4"/>
  <c r="B69" i="4"/>
  <c r="D71" i="4"/>
  <c r="C78" i="4"/>
  <c r="E80" i="4"/>
  <c r="B85" i="4"/>
  <c r="D87" i="4"/>
  <c r="C94" i="4"/>
  <c r="E96" i="4"/>
  <c r="B101" i="4"/>
  <c r="C5" i="4"/>
  <c r="E7" i="4"/>
  <c r="B12" i="4"/>
  <c r="D14" i="4"/>
  <c r="C21" i="4"/>
  <c r="E23" i="4"/>
  <c r="D30" i="4"/>
  <c r="C37" i="4"/>
  <c r="E39" i="4"/>
  <c r="D46" i="4"/>
  <c r="C53" i="4"/>
  <c r="E55" i="4"/>
  <c r="D62" i="4"/>
  <c r="C69" i="4"/>
  <c r="E71" i="4"/>
  <c r="D78" i="4"/>
  <c r="C85" i="4"/>
  <c r="E87" i="4"/>
  <c r="C101" i="4"/>
  <c r="B3" i="4"/>
  <c r="F71" i="4"/>
  <c r="F87" i="4"/>
  <c r="C92" i="4"/>
  <c r="E94" i="4"/>
  <c r="B99" i="4"/>
  <c r="D101" i="4"/>
  <c r="C3" i="4"/>
  <c r="G3" i="4" s="1"/>
  <c r="B10" i="4"/>
  <c r="B26" i="4"/>
  <c r="B42" i="4"/>
  <c r="B58" i="4"/>
  <c r="B74" i="4"/>
  <c r="B90" i="4"/>
  <c r="C99" i="4"/>
  <c r="E101" i="4"/>
  <c r="D3" i="4"/>
  <c r="C10" i="4"/>
  <c r="C26" i="4"/>
  <c r="C42" i="4"/>
  <c r="C58" i="4"/>
  <c r="B97" i="4"/>
  <c r="D99" i="4"/>
  <c r="F101" i="4"/>
</calcChain>
</file>

<file path=xl/sharedStrings.xml><?xml version="1.0" encoding="utf-8"?>
<sst xmlns="http://schemas.openxmlformats.org/spreadsheetml/2006/main" count="122" uniqueCount="51">
  <si>
    <t>Template Pencatatan Stock Movement</t>
  </si>
  <si>
    <t>Cara pakai</t>
  </si>
  <si>
    <t>1. Isi dulu sheet 'Master Produk' (SKU, nama produk, stok awal sebelum pencatatan dimulai).</t>
  </si>
  <si>
    <t>2. Catat setiap pergerakan stok di sheet 'Input Movement', satu baris per kejadian, urut dari yang paling lama ke terbaru.</t>
  </si>
  <si>
    <t>3. Isi hanya kolom header biru: Tanggal, Jenis, SKU, Jumlah Perubahan, Catatan, Petugas.</t>
  </si>
  <si>
    <t>4. Kolom header abu-abu (ID Movement, Produk, Stok Sebelum, Stok Sesudah, Validasi) terisi otomatis oleh rumus, jangan ditimpa.</t>
  </si>
  <si>
    <t>5. Lihat stok terkini per produk di sheet 'Ringkasan Stok'.</t>
  </si>
  <si>
    <t>Aturan Jumlah Perubahan</t>
  </si>
  <si>
    <t>• Stok masuk: angka positif (mis. 10).</t>
  </si>
  <si>
    <t>• Stok keluar: angka negatif (mis. -1).</t>
  </si>
  <si>
    <t>• Adjustment / stok opname: positif jika menambah, negatif jika mengurangi.</t>
  </si>
  <si>
    <t>• Kolom Validasi menandai jika tanda +/- tidak sesuai Jenis atau stok menjadi negatif.</t>
  </si>
  <si>
    <t>Catatan</t>
  </si>
  <si>
    <t>• Baris 2 di 'Input Movement' adalah contoh (dari data kamu: Coco Drink, ID 14). Timpa atau hapus isi kolom bernada biru saja, jangan hapus rumus.</t>
  </si>
  <si>
    <t>• Stok awal TB-001 diisi 0 sebagai asumsi; ganti sesuai stok sebenarnya. Stok awal CC-001 = 17 (diambil dari Stok Sebelum pada data kamu).</t>
  </si>
  <si>
    <t>• Rumus sudah disiapkan sampai baris 1000 dan produk sampai 100 SKU.</t>
  </si>
  <si>
    <t>• Sheet 'Contoh Data' berisi 15 baris data aslimu apa adanya (nilai, tanpa rumus) sebagai referensi.</t>
  </si>
  <si>
    <t>SKU</t>
  </si>
  <si>
    <t>Produk</t>
  </si>
  <si>
    <t>Stok Awal</t>
  </si>
  <si>
    <t>TB-001</t>
  </si>
  <si>
    <t>Teh Botol</t>
  </si>
  <si>
    <t>CC-001</t>
  </si>
  <si>
    <t>Coco Drink</t>
  </si>
  <si>
    <t>ID Movement</t>
  </si>
  <si>
    <t>Tanggal</t>
  </si>
  <si>
    <t>Jenis</t>
  </si>
  <si>
    <t>Jumlah Perubahan</t>
  </si>
  <si>
    <t>Stok Sebelum</t>
  </si>
  <si>
    <t>Stok Sesudah</t>
  </si>
  <si>
    <t>Petugas</t>
  </si>
  <si>
    <t>Validasi</t>
  </si>
  <si>
    <t>Stok keluar</t>
  </si>
  <si>
    <t>Penjualan</t>
  </si>
  <si>
    <t>Admin POS</t>
  </si>
  <si>
    <t>Total Masuk</t>
  </si>
  <si>
    <t>Total Keluar</t>
  </si>
  <si>
    <t>Total Adjustment</t>
  </si>
  <si>
    <t>Stok Akhir</t>
  </si>
  <si>
    <t>Adjustment</t>
  </si>
  <si>
    <t>Stok Opname</t>
  </si>
  <si>
    <t>Barang masuk</t>
  </si>
  <si>
    <t>Kasir Test</t>
  </si>
  <si>
    <t>Penyesuaian berdasarkan stok fisik</t>
  </si>
  <si>
    <t>Stock opname ulang</t>
  </si>
  <si>
    <t>Stock opname</t>
  </si>
  <si>
    <t>Barang terjual</t>
  </si>
  <si>
    <t>Stok masuk</t>
  </si>
  <si>
    <t>Barang masuk dari supplier</t>
  </si>
  <si>
    <t>Test stock masuk</t>
  </si>
  <si>
    <t>Data asli dari ekspor aplikasi POS (apa adanya, urutan terbaru di atas). Hanya untuk referensi.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</si>
</sst>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-#,##0;0"/>
    <numFmt numFmtId="165" formatCode="d\ mmm\ yyyy&quot;, &quot;hh\.mm"/>
  </numFmts>
  <fonts count="7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i/>
      <sz val="10"/>
      <color rgb="FF7F7F7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7F7F7F"/>
        <bgColor rgb="FF969696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/>
    </xf>
    <xf numFmtId="0" fontId="5" fillId="0" borderId="1" xfId="0" applyFont="1" applyBorder="1"/>
    <xf numFmtId="164" fontId="5" fillId="0" borderId="1" xfId="0" applyNumberFormat="1" applyFont="1" applyBorder="1"/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165" fontId="5" fillId="0" borderId="1" xfId="0" applyNumberFormat="1" applyFont="1" applyBorder="1"/>
    <xf numFmtId="0" fontId="2" fillId="4" borderId="1" xfId="0" applyFont="1" applyFill="1" applyBorder="1"/>
    <xf numFmtId="164" fontId="2" fillId="4" borderId="1" xfId="0" applyNumberFormat="1" applyFont="1" applyFill="1" applyBorder="1"/>
    <xf numFmtId="0" fontId="4" fillId="3" borderId="1" xfId="0" applyFont="1" applyFill="1" applyBorder="1" applyAlignment="1">
      <alignment horizontal="center" wrapText="1"/>
    </xf>
    <xf numFmtId="0" fontId="2" fillId="0" borderId="1" xfId="0" applyFont="1" applyBorder="1"/>
    <xf numFmtId="164" fontId="2" fillId="0" borderId="1" xfId="0" applyNumberFormat="1" applyFont="1" applyBorder="1"/>
    <xf numFmtId="164" fontId="3" fillId="0" borderId="1" xfId="0" applyNumberFormat="1" applyFont="1" applyBorder="1"/>
    <xf numFmtId="165" fontId="2" fillId="0" borderId="1" xfId="0" applyNumberFormat="1" applyFont="1" applyBorder="1"/>
    <xf numFmtId="0" fontId="6" fillId="0" borderId="0" xfId="0" applyFont="1"/>
  </cellXfs>
  <cellStyles count="1">
    <cellStyle name="Normal" xfId="0" builtinId="0"/>
  </cellStyles>
  <dxfs count="2">
    <dxf>
      <fill>
        <patternFill>
          <bgColor rgb="FFC6E0B4"/>
        </patternFill>
      </fill>
    </dxf>
    <dxf>
      <font>
        <color rgb="FF9C0006"/>
        <name val="Arial"/>
        <charset val="1"/>
      </font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abSelected="1" zoomScaleNormal="100" workbookViewId="0">
      <selection activeCell="C13" sqref="C13"/>
    </sheetView>
  </sheetViews>
  <sheetFormatPr defaultColWidth="8.6640625" defaultRowHeight="14.4" x14ac:dyDescent="0.3"/>
  <cols>
    <col min="1" max="1" width="110" customWidth="1"/>
  </cols>
  <sheetData>
    <row r="1" spans="1:1" ht="17.399999999999999" x14ac:dyDescent="0.3">
      <c r="A1" s="1" t="s">
        <v>0</v>
      </c>
    </row>
    <row r="2" spans="1:1" x14ac:dyDescent="0.3">
      <c r="A2" s="2"/>
    </row>
    <row r="3" spans="1:1" x14ac:dyDescent="0.3">
      <c r="A3" s="3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/>
    </row>
    <row r="10" spans="1:1" x14ac:dyDescent="0.3">
      <c r="A10" s="3" t="s">
        <v>7</v>
      </c>
    </row>
    <row r="11" spans="1:1" x14ac:dyDescent="0.3">
      <c r="A11" s="2" t="s">
        <v>8</v>
      </c>
    </row>
    <row r="12" spans="1:1" x14ac:dyDescent="0.3">
      <c r="A12" s="2" t="s">
        <v>9</v>
      </c>
    </row>
    <row r="13" spans="1:1" x14ac:dyDescent="0.3">
      <c r="A13" s="2" t="s">
        <v>10</v>
      </c>
    </row>
    <row r="14" spans="1:1" x14ac:dyDescent="0.3">
      <c r="A14" s="2" t="s">
        <v>11</v>
      </c>
    </row>
    <row r="15" spans="1:1" x14ac:dyDescent="0.3">
      <c r="A15" s="2"/>
    </row>
    <row r="16" spans="1:1" x14ac:dyDescent="0.3">
      <c r="A16" s="3" t="s">
        <v>12</v>
      </c>
    </row>
    <row r="17" spans="1:1" ht="26.4" x14ac:dyDescent="0.3">
      <c r="A17" s="2" t="s">
        <v>13</v>
      </c>
    </row>
    <row r="18" spans="1:1" ht="26.4" x14ac:dyDescent="0.3">
      <c r="A18" s="2" t="s">
        <v>14</v>
      </c>
    </row>
    <row r="19" spans="1:1" x14ac:dyDescent="0.3">
      <c r="A19" s="2" t="s">
        <v>15</v>
      </c>
    </row>
    <row r="20" spans="1:1" x14ac:dyDescent="0.3">
      <c r="A20" s="2" t="s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1"/>
  <sheetViews>
    <sheetView zoomScaleNormal="100" workbookViewId="0">
      <pane ySplit="1" topLeftCell="A2" activePane="bottomLeft" state="frozen"/>
      <selection pane="bottomLeft" activeCell="C2" sqref="C2"/>
    </sheetView>
  </sheetViews>
  <sheetFormatPr defaultColWidth="8.6640625" defaultRowHeight="14.4" x14ac:dyDescent="0.3"/>
  <cols>
    <col min="1" max="1" width="14" customWidth="1"/>
    <col min="2" max="2" width="28" customWidth="1"/>
    <col min="3" max="3" width="12" customWidth="1"/>
  </cols>
  <sheetData>
    <row r="1" spans="1:3" x14ac:dyDescent="0.3">
      <c r="A1" s="4" t="s">
        <v>17</v>
      </c>
      <c r="B1" s="4" t="s">
        <v>18</v>
      </c>
      <c r="C1" s="4" t="s">
        <v>19</v>
      </c>
    </row>
    <row r="2" spans="1:3" x14ac:dyDescent="0.3">
      <c r="A2" s="5" t="s">
        <v>20</v>
      </c>
      <c r="B2" s="5" t="s">
        <v>21</v>
      </c>
      <c r="C2" s="6">
        <v>5</v>
      </c>
    </row>
    <row r="3" spans="1:3" x14ac:dyDescent="0.3">
      <c r="A3" s="5" t="s">
        <v>22</v>
      </c>
      <c r="B3" s="5" t="s">
        <v>23</v>
      </c>
      <c r="C3" s="6">
        <v>17</v>
      </c>
    </row>
    <row r="4" spans="1:3" x14ac:dyDescent="0.3">
      <c r="A4" s="5"/>
      <c r="B4" s="5"/>
      <c r="C4" s="6"/>
    </row>
    <row r="5" spans="1:3" x14ac:dyDescent="0.3">
      <c r="A5" s="5"/>
      <c r="B5" s="5"/>
      <c r="C5" s="6"/>
    </row>
    <row r="6" spans="1:3" x14ac:dyDescent="0.3">
      <c r="A6" s="5"/>
      <c r="B6" s="5"/>
      <c r="C6" s="6"/>
    </row>
    <row r="7" spans="1:3" x14ac:dyDescent="0.3">
      <c r="A7" s="5"/>
      <c r="B7" s="5"/>
      <c r="C7" s="6"/>
    </row>
    <row r="8" spans="1:3" x14ac:dyDescent="0.3">
      <c r="A8" s="5"/>
      <c r="B8" s="5"/>
      <c r="C8" s="6"/>
    </row>
    <row r="9" spans="1:3" x14ac:dyDescent="0.3">
      <c r="A9" s="5"/>
      <c r="B9" s="5"/>
      <c r="C9" s="6"/>
    </row>
    <row r="10" spans="1:3" x14ac:dyDescent="0.3">
      <c r="A10" s="5"/>
      <c r="B10" s="5"/>
      <c r="C10" s="6"/>
    </row>
    <row r="11" spans="1:3" x14ac:dyDescent="0.3">
      <c r="A11" s="5"/>
      <c r="B11" s="5"/>
      <c r="C11" s="6"/>
    </row>
    <row r="12" spans="1:3" x14ac:dyDescent="0.3">
      <c r="A12" s="5"/>
      <c r="B12" s="5"/>
      <c r="C12" s="6"/>
    </row>
    <row r="13" spans="1:3" x14ac:dyDescent="0.3">
      <c r="A13" s="5"/>
      <c r="B13" s="5"/>
      <c r="C13" s="6"/>
    </row>
    <row r="14" spans="1:3" x14ac:dyDescent="0.3">
      <c r="A14" s="5"/>
      <c r="B14" s="5"/>
      <c r="C14" s="6"/>
    </row>
    <row r="15" spans="1:3" x14ac:dyDescent="0.3">
      <c r="A15" s="5"/>
      <c r="B15" s="5"/>
      <c r="C15" s="6"/>
    </row>
    <row r="16" spans="1:3" x14ac:dyDescent="0.3">
      <c r="A16" s="5"/>
      <c r="B16" s="5"/>
      <c r="C16" s="6"/>
    </row>
    <row r="17" spans="1:3" x14ac:dyDescent="0.3">
      <c r="A17" s="5"/>
      <c r="B17" s="5"/>
      <c r="C17" s="6"/>
    </row>
    <row r="18" spans="1:3" x14ac:dyDescent="0.3">
      <c r="A18" s="5"/>
      <c r="B18" s="5"/>
      <c r="C18" s="6"/>
    </row>
    <row r="19" spans="1:3" x14ac:dyDescent="0.3">
      <c r="A19" s="5"/>
      <c r="B19" s="5"/>
      <c r="C19" s="6"/>
    </row>
    <row r="20" spans="1:3" x14ac:dyDescent="0.3">
      <c r="A20" s="5"/>
      <c r="B20" s="5"/>
      <c r="C20" s="6"/>
    </row>
    <row r="21" spans="1:3" x14ac:dyDescent="0.3">
      <c r="A21" s="5"/>
      <c r="B21" s="5"/>
      <c r="C21" s="6"/>
    </row>
    <row r="22" spans="1:3" x14ac:dyDescent="0.3">
      <c r="A22" s="5"/>
      <c r="B22" s="5"/>
      <c r="C22" s="6"/>
    </row>
    <row r="23" spans="1:3" x14ac:dyDescent="0.3">
      <c r="A23" s="5"/>
      <c r="B23" s="5"/>
      <c r="C23" s="6"/>
    </row>
    <row r="24" spans="1:3" x14ac:dyDescent="0.3">
      <c r="A24" s="5"/>
      <c r="B24" s="5"/>
      <c r="C24" s="6"/>
    </row>
    <row r="25" spans="1:3" x14ac:dyDescent="0.3">
      <c r="A25" s="5"/>
      <c r="B25" s="5"/>
      <c r="C25" s="6"/>
    </row>
    <row r="26" spans="1:3" x14ac:dyDescent="0.3">
      <c r="A26" s="5"/>
      <c r="B26" s="5"/>
      <c r="C26" s="6"/>
    </row>
    <row r="27" spans="1:3" x14ac:dyDescent="0.3">
      <c r="A27" s="5"/>
      <c r="B27" s="5"/>
      <c r="C27" s="6"/>
    </row>
    <row r="28" spans="1:3" x14ac:dyDescent="0.3">
      <c r="A28" s="5"/>
      <c r="B28" s="5"/>
      <c r="C28" s="6"/>
    </row>
    <row r="29" spans="1:3" x14ac:dyDescent="0.3">
      <c r="A29" s="5"/>
      <c r="B29" s="5"/>
      <c r="C29" s="6"/>
    </row>
    <row r="30" spans="1:3" x14ac:dyDescent="0.3">
      <c r="A30" s="5"/>
      <c r="B30" s="5"/>
      <c r="C30" s="6"/>
    </row>
    <row r="31" spans="1:3" x14ac:dyDescent="0.3">
      <c r="A31" s="5"/>
      <c r="B31" s="5"/>
      <c r="C31" s="6"/>
    </row>
    <row r="32" spans="1:3" x14ac:dyDescent="0.3">
      <c r="A32" s="5"/>
      <c r="B32" s="5"/>
      <c r="C32" s="6"/>
    </row>
    <row r="33" spans="1:3" x14ac:dyDescent="0.3">
      <c r="A33" s="5"/>
      <c r="B33" s="5"/>
      <c r="C33" s="6"/>
    </row>
    <row r="34" spans="1:3" x14ac:dyDescent="0.3">
      <c r="A34" s="5"/>
      <c r="B34" s="5"/>
      <c r="C34" s="6"/>
    </row>
    <row r="35" spans="1:3" x14ac:dyDescent="0.3">
      <c r="A35" s="5"/>
      <c r="B35" s="5"/>
      <c r="C35" s="6"/>
    </row>
    <row r="36" spans="1:3" x14ac:dyDescent="0.3">
      <c r="A36" s="5"/>
      <c r="B36" s="5"/>
      <c r="C36" s="6"/>
    </row>
    <row r="37" spans="1:3" x14ac:dyDescent="0.3">
      <c r="A37" s="5"/>
      <c r="B37" s="5"/>
      <c r="C37" s="6"/>
    </row>
    <row r="38" spans="1:3" x14ac:dyDescent="0.3">
      <c r="A38" s="5"/>
      <c r="B38" s="5"/>
      <c r="C38" s="6"/>
    </row>
    <row r="39" spans="1:3" x14ac:dyDescent="0.3">
      <c r="A39" s="5"/>
      <c r="B39" s="5"/>
      <c r="C39" s="6"/>
    </row>
    <row r="40" spans="1:3" x14ac:dyDescent="0.3">
      <c r="A40" s="5"/>
      <c r="B40" s="5"/>
      <c r="C40" s="6"/>
    </row>
    <row r="41" spans="1:3" x14ac:dyDescent="0.3">
      <c r="A41" s="5"/>
      <c r="B41" s="5"/>
      <c r="C41" s="6"/>
    </row>
    <row r="42" spans="1:3" x14ac:dyDescent="0.3">
      <c r="A42" s="5"/>
      <c r="B42" s="5"/>
      <c r="C42" s="6"/>
    </row>
    <row r="43" spans="1:3" x14ac:dyDescent="0.3">
      <c r="A43" s="5"/>
      <c r="B43" s="5"/>
      <c r="C43" s="6"/>
    </row>
    <row r="44" spans="1:3" x14ac:dyDescent="0.3">
      <c r="A44" s="5"/>
      <c r="B44" s="5"/>
      <c r="C44" s="6"/>
    </row>
    <row r="45" spans="1:3" x14ac:dyDescent="0.3">
      <c r="A45" s="5"/>
      <c r="B45" s="5"/>
      <c r="C45" s="6"/>
    </row>
    <row r="46" spans="1:3" x14ac:dyDescent="0.3">
      <c r="A46" s="5"/>
      <c r="B46" s="5"/>
      <c r="C46" s="6"/>
    </row>
    <row r="47" spans="1:3" x14ac:dyDescent="0.3">
      <c r="A47" s="5"/>
      <c r="B47" s="5"/>
      <c r="C47" s="6"/>
    </row>
    <row r="48" spans="1:3" x14ac:dyDescent="0.3">
      <c r="A48" s="5"/>
      <c r="B48" s="5"/>
      <c r="C48" s="6"/>
    </row>
    <row r="49" spans="1:3" x14ac:dyDescent="0.3">
      <c r="A49" s="5"/>
      <c r="B49" s="5"/>
      <c r="C49" s="6"/>
    </row>
    <row r="50" spans="1:3" x14ac:dyDescent="0.3">
      <c r="A50" s="5"/>
      <c r="B50" s="5"/>
      <c r="C50" s="6"/>
    </row>
    <row r="51" spans="1:3" x14ac:dyDescent="0.3">
      <c r="A51" s="5"/>
      <c r="B51" s="5"/>
      <c r="C51" s="6"/>
    </row>
    <row r="52" spans="1:3" x14ac:dyDescent="0.3">
      <c r="A52" s="5"/>
      <c r="B52" s="5"/>
      <c r="C52" s="6"/>
    </row>
    <row r="53" spans="1:3" x14ac:dyDescent="0.3">
      <c r="A53" s="5"/>
      <c r="B53" s="5"/>
      <c r="C53" s="6"/>
    </row>
    <row r="54" spans="1:3" x14ac:dyDescent="0.3">
      <c r="A54" s="5"/>
      <c r="B54" s="5"/>
      <c r="C54" s="6"/>
    </row>
    <row r="55" spans="1:3" x14ac:dyDescent="0.3">
      <c r="A55" s="5"/>
      <c r="B55" s="5"/>
      <c r="C55" s="6"/>
    </row>
    <row r="56" spans="1:3" x14ac:dyDescent="0.3">
      <c r="A56" s="5"/>
      <c r="B56" s="5"/>
      <c r="C56" s="6"/>
    </row>
    <row r="57" spans="1:3" x14ac:dyDescent="0.3">
      <c r="A57" s="5"/>
      <c r="B57" s="5"/>
      <c r="C57" s="6"/>
    </row>
    <row r="58" spans="1:3" x14ac:dyDescent="0.3">
      <c r="A58" s="5"/>
      <c r="B58" s="5"/>
      <c r="C58" s="6"/>
    </row>
    <row r="59" spans="1:3" x14ac:dyDescent="0.3">
      <c r="A59" s="5"/>
      <c r="B59" s="5"/>
      <c r="C59" s="6"/>
    </row>
    <row r="60" spans="1:3" x14ac:dyDescent="0.3">
      <c r="A60" s="5"/>
      <c r="B60" s="5"/>
      <c r="C60" s="6"/>
    </row>
    <row r="61" spans="1:3" x14ac:dyDescent="0.3">
      <c r="A61" s="5"/>
      <c r="B61" s="5"/>
      <c r="C61" s="6"/>
    </row>
    <row r="62" spans="1:3" x14ac:dyDescent="0.3">
      <c r="A62" s="5"/>
      <c r="B62" s="5"/>
      <c r="C62" s="6"/>
    </row>
    <row r="63" spans="1:3" x14ac:dyDescent="0.3">
      <c r="A63" s="5"/>
      <c r="B63" s="5"/>
      <c r="C63" s="6"/>
    </row>
    <row r="64" spans="1:3" x14ac:dyDescent="0.3">
      <c r="A64" s="5"/>
      <c r="B64" s="5"/>
      <c r="C64" s="6"/>
    </row>
    <row r="65" spans="1:3" x14ac:dyDescent="0.3">
      <c r="A65" s="5"/>
      <c r="B65" s="5"/>
      <c r="C65" s="6"/>
    </row>
    <row r="66" spans="1:3" x14ac:dyDescent="0.3">
      <c r="A66" s="5"/>
      <c r="B66" s="5"/>
      <c r="C66" s="6"/>
    </row>
    <row r="67" spans="1:3" x14ac:dyDescent="0.3">
      <c r="A67" s="5"/>
      <c r="B67" s="5"/>
      <c r="C67" s="6"/>
    </row>
    <row r="68" spans="1:3" x14ac:dyDescent="0.3">
      <c r="A68" s="5"/>
      <c r="B68" s="5"/>
      <c r="C68" s="6"/>
    </row>
    <row r="69" spans="1:3" x14ac:dyDescent="0.3">
      <c r="A69" s="5"/>
      <c r="B69" s="5"/>
      <c r="C69" s="6"/>
    </row>
    <row r="70" spans="1:3" x14ac:dyDescent="0.3">
      <c r="A70" s="5"/>
      <c r="B70" s="5"/>
      <c r="C70" s="6"/>
    </row>
    <row r="71" spans="1:3" x14ac:dyDescent="0.3">
      <c r="A71" s="5"/>
      <c r="B71" s="5"/>
      <c r="C71" s="6"/>
    </row>
    <row r="72" spans="1:3" x14ac:dyDescent="0.3">
      <c r="A72" s="5"/>
      <c r="B72" s="5"/>
      <c r="C72" s="6"/>
    </row>
    <row r="73" spans="1:3" x14ac:dyDescent="0.3">
      <c r="A73" s="5"/>
      <c r="B73" s="5"/>
      <c r="C73" s="6"/>
    </row>
    <row r="74" spans="1:3" x14ac:dyDescent="0.3">
      <c r="A74" s="5"/>
      <c r="B74" s="5"/>
      <c r="C74" s="6"/>
    </row>
    <row r="75" spans="1:3" x14ac:dyDescent="0.3">
      <c r="A75" s="5"/>
      <c r="B75" s="5"/>
      <c r="C75" s="6"/>
    </row>
    <row r="76" spans="1:3" x14ac:dyDescent="0.3">
      <c r="A76" s="5"/>
      <c r="B76" s="5"/>
      <c r="C76" s="6"/>
    </row>
    <row r="77" spans="1:3" x14ac:dyDescent="0.3">
      <c r="A77" s="5"/>
      <c r="B77" s="5"/>
      <c r="C77" s="6"/>
    </row>
    <row r="78" spans="1:3" x14ac:dyDescent="0.3">
      <c r="A78" s="5"/>
      <c r="B78" s="5"/>
      <c r="C78" s="6"/>
    </row>
    <row r="79" spans="1:3" x14ac:dyDescent="0.3">
      <c r="A79" s="5"/>
      <c r="B79" s="5"/>
      <c r="C79" s="6"/>
    </row>
    <row r="80" spans="1:3" x14ac:dyDescent="0.3">
      <c r="A80" s="5"/>
      <c r="B80" s="5"/>
      <c r="C80" s="6"/>
    </row>
    <row r="81" spans="1:3" x14ac:dyDescent="0.3">
      <c r="A81" s="5"/>
      <c r="B81" s="5"/>
      <c r="C81" s="6"/>
    </row>
    <row r="82" spans="1:3" x14ac:dyDescent="0.3">
      <c r="A82" s="5"/>
      <c r="B82" s="5"/>
      <c r="C82" s="6"/>
    </row>
    <row r="83" spans="1:3" x14ac:dyDescent="0.3">
      <c r="A83" s="5"/>
      <c r="B83" s="5"/>
      <c r="C83" s="6"/>
    </row>
    <row r="84" spans="1:3" x14ac:dyDescent="0.3">
      <c r="A84" s="5"/>
      <c r="B84" s="5"/>
      <c r="C84" s="6"/>
    </row>
    <row r="85" spans="1:3" x14ac:dyDescent="0.3">
      <c r="A85" s="5"/>
      <c r="B85" s="5"/>
      <c r="C85" s="6"/>
    </row>
    <row r="86" spans="1:3" x14ac:dyDescent="0.3">
      <c r="A86" s="5"/>
      <c r="B86" s="5"/>
      <c r="C86" s="6"/>
    </row>
    <row r="87" spans="1:3" x14ac:dyDescent="0.3">
      <c r="A87" s="5"/>
      <c r="B87" s="5"/>
      <c r="C87" s="6"/>
    </row>
    <row r="88" spans="1:3" x14ac:dyDescent="0.3">
      <c r="A88" s="5"/>
      <c r="B88" s="5"/>
      <c r="C88" s="6"/>
    </row>
    <row r="89" spans="1:3" x14ac:dyDescent="0.3">
      <c r="A89" s="5"/>
      <c r="B89" s="5"/>
      <c r="C89" s="6"/>
    </row>
    <row r="90" spans="1:3" x14ac:dyDescent="0.3">
      <c r="A90" s="5"/>
      <c r="B90" s="5"/>
      <c r="C90" s="6"/>
    </row>
    <row r="91" spans="1:3" x14ac:dyDescent="0.3">
      <c r="A91" s="5"/>
      <c r="B91" s="5"/>
      <c r="C91" s="6"/>
    </row>
    <row r="92" spans="1:3" x14ac:dyDescent="0.3">
      <c r="A92" s="5"/>
      <c r="B92" s="5"/>
      <c r="C92" s="6"/>
    </row>
    <row r="93" spans="1:3" x14ac:dyDescent="0.3">
      <c r="A93" s="5"/>
      <c r="B93" s="5"/>
      <c r="C93" s="6"/>
    </row>
    <row r="94" spans="1:3" x14ac:dyDescent="0.3">
      <c r="A94" s="5"/>
      <c r="B94" s="5"/>
      <c r="C94" s="6"/>
    </row>
    <row r="95" spans="1:3" x14ac:dyDescent="0.3">
      <c r="A95" s="5"/>
      <c r="B95" s="5"/>
      <c r="C95" s="6"/>
    </row>
    <row r="96" spans="1:3" x14ac:dyDescent="0.3">
      <c r="A96" s="5"/>
      <c r="B96" s="5"/>
      <c r="C96" s="6"/>
    </row>
    <row r="97" spans="1:3" x14ac:dyDescent="0.3">
      <c r="A97" s="5"/>
      <c r="B97" s="5"/>
      <c r="C97" s="6"/>
    </row>
    <row r="98" spans="1:3" x14ac:dyDescent="0.3">
      <c r="A98" s="5"/>
      <c r="B98" s="5"/>
      <c r="C98" s="6"/>
    </row>
    <row r="99" spans="1:3" x14ac:dyDescent="0.3">
      <c r="A99" s="5"/>
      <c r="B99" s="5"/>
      <c r="C99" s="6"/>
    </row>
    <row r="100" spans="1:3" x14ac:dyDescent="0.3">
      <c r="A100" s="5"/>
      <c r="B100" s="5"/>
      <c r="C100" s="6"/>
    </row>
    <row r="101" spans="1:3" x14ac:dyDescent="0.3">
      <c r="A101" s="5"/>
      <c r="B101" s="5"/>
      <c r="C101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20" customWidth="1"/>
    <col min="3" max="3" width="14" customWidth="1"/>
    <col min="4" max="4" width="12" customWidth="1"/>
    <col min="5" max="5" width="24" customWidth="1"/>
    <col min="6" max="8" width="12" customWidth="1"/>
    <col min="9" max="9" width="32" customWidth="1"/>
    <col min="10" max="10" width="16" customWidth="1"/>
    <col min="11" max="11" width="22" customWidth="1"/>
  </cols>
  <sheetData>
    <row r="1" spans="1:11" ht="30" customHeight="1" x14ac:dyDescent="0.3">
      <c r="A1" s="7" t="s">
        <v>24</v>
      </c>
      <c r="B1" s="8" t="s">
        <v>25</v>
      </c>
      <c r="C1" s="8" t="s">
        <v>26</v>
      </c>
      <c r="D1" s="8" t="s">
        <v>17</v>
      </c>
      <c r="E1" s="7" t="s">
        <v>18</v>
      </c>
      <c r="F1" s="8" t="s">
        <v>27</v>
      </c>
      <c r="G1" s="7" t="s">
        <v>28</v>
      </c>
      <c r="H1" s="7" t="s">
        <v>29</v>
      </c>
      <c r="I1" s="8" t="s">
        <v>12</v>
      </c>
      <c r="J1" s="8" t="s">
        <v>30</v>
      </c>
      <c r="K1" s="7" t="s">
        <v>31</v>
      </c>
    </row>
    <row r="2" spans="1:11" x14ac:dyDescent="0.3">
      <c r="A2" s="9">
        <f t="shared" ref="A2:A65" si="0">IF(D2="","",ROW()-1)</f>
        <v>1</v>
      </c>
      <c r="B2" s="10">
        <v>46310.306944444397</v>
      </c>
      <c r="C2" s="5" t="s">
        <v>32</v>
      </c>
      <c r="D2" s="5" t="s">
        <v>22</v>
      </c>
      <c r="E2" s="11" t="str">
        <f>IF(D2="","",IFERROR(INDEX('Master Produk'!$B$2:$B$101,MATCH(D2,'Master Produk'!$A$2:$A$101,0)),"SKU tidak ada di master"))</f>
        <v>Coco Drink</v>
      </c>
      <c r="F2" s="6">
        <v>-1</v>
      </c>
      <c r="G2" s="12">
        <f>IF(D2="","",IFERROR(INDEX('Master Produk'!$C$2:$C$101,MATCH(D2,'Master Produk'!$A$2:$A$101,0)),0)+SUMIFS(F$1:F1,D$1:D1,D2))</f>
        <v>17</v>
      </c>
      <c r="H2" s="12">
        <f t="shared" ref="H2:H65" si="1">IF(D2="","",G2+F2)</f>
        <v>16</v>
      </c>
      <c r="I2" s="5" t="s">
        <v>33</v>
      </c>
      <c r="J2" s="5" t="s">
        <v>34</v>
      </c>
      <c r="K2" s="11" t="str">
        <f>IF(D2="","",IF(ISNA(MATCH(D2,'Master Produk'!$A$2:$A$101,0)),"SKU tidak ada di master",IF(AND(C2="Stok masuk",F2&lt;0),"Stok masuk harus +",IF(AND(C2="Stok keluar",F2&gt;0),"Stok keluar harus -",IF(H2&lt;0,"Stok negatif","OK")))))</f>
        <v>OK</v>
      </c>
    </row>
    <row r="3" spans="1:11" x14ac:dyDescent="0.3">
      <c r="A3" s="9" t="str">
        <f t="shared" si="0"/>
        <v/>
      </c>
      <c r="B3" s="10"/>
      <c r="C3" s="5"/>
      <c r="D3" s="5"/>
      <c r="E3" s="11" t="str">
        <f>IF(D3="","",IFERROR(INDEX('Master Produk'!$B$2:$B$101,MATCH(D3,'Master Produk'!$A$2:$A$101,0)),"SKU tidak ada di master"))</f>
        <v/>
      </c>
      <c r="F3" s="6"/>
      <c r="G3" s="12" t="str">
        <f>IF(D3="","",IFERROR(INDEX('Master Produk'!$C$2:$C$101,MATCH(D3,'Master Produk'!$A$2:$A$101,0)),0)+SUMIFS(F$1:F2,D$1:D2,D3))</f>
        <v/>
      </c>
      <c r="H3" s="12" t="str">
        <f t="shared" si="1"/>
        <v/>
      </c>
      <c r="I3" s="5"/>
      <c r="J3" s="5"/>
      <c r="K3" s="11" t="str">
        <f>IF(D3="","",IF(ISNA(MATCH(D3,'Master Produk'!$A$2:$A$101,0)),"SKU tidak ada di master",IF(AND(C3="Stok masuk",F3&lt;0),"Stok masuk harus +",IF(AND(C3="Stok keluar",F3&gt;0),"Stok keluar harus -",IF(H3&lt;0,"Stok negatif","OK")))))</f>
        <v/>
      </c>
    </row>
    <row r="4" spans="1:11" x14ac:dyDescent="0.3">
      <c r="A4" s="9" t="str">
        <f t="shared" si="0"/>
        <v/>
      </c>
      <c r="B4" s="10"/>
      <c r="C4" s="5"/>
      <c r="D4" s="5"/>
      <c r="E4" s="11" t="str">
        <f>IF(D4="","",IFERROR(INDEX('Master Produk'!$B$2:$B$101,MATCH(D4,'Master Produk'!$A$2:$A$101,0)),"SKU tidak ada di master"))</f>
        <v/>
      </c>
      <c r="F4" s="6"/>
      <c r="G4" s="12" t="str">
        <f>IF(D4="","",IFERROR(INDEX('Master Produk'!$C$2:$C$101,MATCH(D4,'Master Produk'!$A$2:$A$101,0)),0)+SUMIFS(F$1:F3,D$1:D3,D4))</f>
        <v/>
      </c>
      <c r="H4" s="12" t="str">
        <f t="shared" si="1"/>
        <v/>
      </c>
      <c r="I4" s="5"/>
      <c r="J4" s="5"/>
      <c r="K4" s="11" t="str">
        <f>IF(D4="","",IF(ISNA(MATCH(D4,'Master Produk'!$A$2:$A$101,0)),"SKU tidak ada di master",IF(AND(C4="Stok masuk",F4&lt;0),"Stok masuk harus +",IF(AND(C4="Stok keluar",F4&gt;0),"Stok keluar harus -",IF(H4&lt;0,"Stok negatif","OK")))))</f>
        <v/>
      </c>
    </row>
    <row r="5" spans="1:11" x14ac:dyDescent="0.3">
      <c r="A5" s="9" t="str">
        <f t="shared" si="0"/>
        <v/>
      </c>
      <c r="B5" s="10"/>
      <c r="C5" s="5"/>
      <c r="D5" s="5"/>
      <c r="E5" s="11" t="str">
        <f>IF(D5="","",IFERROR(INDEX('Master Produk'!$B$2:$B$101,MATCH(D5,'Master Produk'!$A$2:$A$101,0)),"SKU tidak ada di master"))</f>
        <v/>
      </c>
      <c r="F5" s="6"/>
      <c r="G5" s="12" t="str">
        <f>IF(D5="","",IFERROR(INDEX('Master Produk'!$C$2:$C$101,MATCH(D5,'Master Produk'!$A$2:$A$101,0)),0)+SUMIFS(F$1:F4,D$1:D4,D5))</f>
        <v/>
      </c>
      <c r="H5" s="12" t="str">
        <f t="shared" si="1"/>
        <v/>
      </c>
      <c r="I5" s="5"/>
      <c r="J5" s="5"/>
      <c r="K5" s="11" t="str">
        <f>IF(D5="","",IF(ISNA(MATCH(D5,'Master Produk'!$A$2:$A$101,0)),"SKU tidak ada di master",IF(AND(C5="Stok masuk",F5&lt;0),"Stok masuk harus +",IF(AND(C5="Stok keluar",F5&gt;0),"Stok keluar harus -",IF(H5&lt;0,"Stok negatif","OK")))))</f>
        <v/>
      </c>
    </row>
    <row r="6" spans="1:11" x14ac:dyDescent="0.3">
      <c r="A6" s="9" t="str">
        <f t="shared" si="0"/>
        <v/>
      </c>
      <c r="B6" s="10"/>
      <c r="C6" s="5"/>
      <c r="D6" s="5"/>
      <c r="E6" s="11" t="str">
        <f>IF(D6="","",IFERROR(INDEX('Master Produk'!$B$2:$B$101,MATCH(D6,'Master Produk'!$A$2:$A$101,0)),"SKU tidak ada di master"))</f>
        <v/>
      </c>
      <c r="F6" s="6"/>
      <c r="G6" s="12" t="str">
        <f>IF(D6="","",IFERROR(INDEX('Master Produk'!$C$2:$C$101,MATCH(D6,'Master Produk'!$A$2:$A$101,0)),0)+SUMIFS(F$1:F5,D$1:D5,D6))</f>
        <v/>
      </c>
      <c r="H6" s="12" t="str">
        <f t="shared" si="1"/>
        <v/>
      </c>
      <c r="I6" s="5"/>
      <c r="J6" s="5"/>
      <c r="K6" s="11" t="str">
        <f>IF(D6="","",IF(ISNA(MATCH(D6,'Master Produk'!$A$2:$A$101,0)),"SKU tidak ada di master",IF(AND(C6="Stok masuk",F6&lt;0),"Stok masuk harus +",IF(AND(C6="Stok keluar",F6&gt;0),"Stok keluar harus -",IF(H6&lt;0,"Stok negatif","OK")))))</f>
        <v/>
      </c>
    </row>
    <row r="7" spans="1:11" x14ac:dyDescent="0.3">
      <c r="A7" s="9" t="str">
        <f t="shared" si="0"/>
        <v/>
      </c>
      <c r="B7" s="10"/>
      <c r="C7" s="5"/>
      <c r="D7" s="5"/>
      <c r="E7" s="11" t="str">
        <f>IF(D7="","",IFERROR(INDEX('Master Produk'!$B$2:$B$101,MATCH(D7,'Master Produk'!$A$2:$A$101,0)),"SKU tidak ada di master"))</f>
        <v/>
      </c>
      <c r="F7" s="6"/>
      <c r="G7" s="12" t="str">
        <f>IF(D7="","",IFERROR(INDEX('Master Produk'!$C$2:$C$101,MATCH(D7,'Master Produk'!$A$2:$A$101,0)),0)+SUMIFS(F$1:F6,D$1:D6,D7))</f>
        <v/>
      </c>
      <c r="H7" s="12" t="str">
        <f t="shared" si="1"/>
        <v/>
      </c>
      <c r="I7" s="5"/>
      <c r="J7" s="5"/>
      <c r="K7" s="11" t="str">
        <f>IF(D7="","",IF(ISNA(MATCH(D7,'Master Produk'!$A$2:$A$101,0)),"SKU tidak ada di master",IF(AND(C7="Stok masuk",F7&lt;0),"Stok masuk harus +",IF(AND(C7="Stok keluar",F7&gt;0),"Stok keluar harus -",IF(H7&lt;0,"Stok negatif","OK")))))</f>
        <v/>
      </c>
    </row>
    <row r="8" spans="1:11" x14ac:dyDescent="0.3">
      <c r="A8" s="9" t="str">
        <f t="shared" si="0"/>
        <v/>
      </c>
      <c r="B8" s="10"/>
      <c r="C8" s="5"/>
      <c r="D8" s="5"/>
      <c r="E8" s="11" t="str">
        <f>IF(D8="","",IFERROR(INDEX('Master Produk'!$B$2:$B$101,MATCH(D8,'Master Produk'!$A$2:$A$101,0)),"SKU tidak ada di master"))</f>
        <v/>
      </c>
      <c r="F8" s="6"/>
      <c r="G8" s="12" t="str">
        <f>IF(D8="","",IFERROR(INDEX('Master Produk'!$C$2:$C$101,MATCH(D8,'Master Produk'!$A$2:$A$101,0)),0)+SUMIFS(F$1:F7,D$1:D7,D8))</f>
        <v/>
      </c>
      <c r="H8" s="12" t="str">
        <f t="shared" si="1"/>
        <v/>
      </c>
      <c r="I8" s="5"/>
      <c r="J8" s="5"/>
      <c r="K8" s="11" t="str">
        <f>IF(D8="","",IF(ISNA(MATCH(D8,'Master Produk'!$A$2:$A$101,0)),"SKU tidak ada di master",IF(AND(C8="Stok masuk",F8&lt;0),"Stok masuk harus +",IF(AND(C8="Stok keluar",F8&gt;0),"Stok keluar harus -",IF(H8&lt;0,"Stok negatif","OK")))))</f>
        <v/>
      </c>
    </row>
    <row r="9" spans="1:11" x14ac:dyDescent="0.3">
      <c r="A9" s="9" t="str">
        <f t="shared" si="0"/>
        <v/>
      </c>
      <c r="B9" s="10"/>
      <c r="C9" s="5"/>
      <c r="D9" s="5"/>
      <c r="E9" s="11" t="str">
        <f>IF(D9="","",IFERROR(INDEX('Master Produk'!$B$2:$B$101,MATCH(D9,'Master Produk'!$A$2:$A$101,0)),"SKU tidak ada di master"))</f>
        <v/>
      </c>
      <c r="F9" s="6"/>
      <c r="G9" s="12" t="str">
        <f>IF(D9="","",IFERROR(INDEX('Master Produk'!$C$2:$C$101,MATCH(D9,'Master Produk'!$A$2:$A$101,0)),0)+SUMIFS(F$1:F8,D$1:D8,D9))</f>
        <v/>
      </c>
      <c r="H9" s="12" t="str">
        <f t="shared" si="1"/>
        <v/>
      </c>
      <c r="I9" s="5"/>
      <c r="J9" s="5"/>
      <c r="K9" s="11" t="str">
        <f>IF(D9="","",IF(ISNA(MATCH(D9,'Master Produk'!$A$2:$A$101,0)),"SKU tidak ada di master",IF(AND(C9="Stok masuk",F9&lt;0),"Stok masuk harus +",IF(AND(C9="Stok keluar",F9&gt;0),"Stok keluar harus -",IF(H9&lt;0,"Stok negatif","OK")))))</f>
        <v/>
      </c>
    </row>
    <row r="10" spans="1:11" x14ac:dyDescent="0.3">
      <c r="A10" s="9" t="str">
        <f t="shared" si="0"/>
        <v/>
      </c>
      <c r="B10" s="10"/>
      <c r="C10" s="5"/>
      <c r="D10" s="5"/>
      <c r="E10" s="11" t="str">
        <f>IF(D10="","",IFERROR(INDEX('Master Produk'!$B$2:$B$101,MATCH(D10,'Master Produk'!$A$2:$A$101,0)),"SKU tidak ada di master"))</f>
        <v/>
      </c>
      <c r="F10" s="6"/>
      <c r="G10" s="12" t="str">
        <f>IF(D10="","",IFERROR(INDEX('Master Produk'!$C$2:$C$101,MATCH(D10,'Master Produk'!$A$2:$A$101,0)),0)+SUMIFS(F$1:F9,D$1:D9,D10))</f>
        <v/>
      </c>
      <c r="H10" s="12" t="str">
        <f t="shared" si="1"/>
        <v/>
      </c>
      <c r="I10" s="5"/>
      <c r="J10" s="5"/>
      <c r="K10" s="11" t="str">
        <f>IF(D10="","",IF(ISNA(MATCH(D10,'Master Produk'!$A$2:$A$101,0)),"SKU tidak ada di master",IF(AND(C10="Stok masuk",F10&lt;0),"Stok masuk harus +",IF(AND(C10="Stok keluar",F10&gt;0),"Stok keluar harus -",IF(H10&lt;0,"Stok negatif","OK")))))</f>
        <v/>
      </c>
    </row>
    <row r="11" spans="1:11" x14ac:dyDescent="0.3">
      <c r="A11" s="9" t="str">
        <f t="shared" si="0"/>
        <v/>
      </c>
      <c r="B11" s="10"/>
      <c r="C11" s="5"/>
      <c r="D11" s="5"/>
      <c r="E11" s="11" t="str">
        <f>IF(D11="","",IFERROR(INDEX('Master Produk'!$B$2:$B$101,MATCH(D11,'Master Produk'!$A$2:$A$101,0)),"SKU tidak ada di master"))</f>
        <v/>
      </c>
      <c r="F11" s="6"/>
      <c r="G11" s="12" t="str">
        <f>IF(D11="","",IFERROR(INDEX('Master Produk'!$C$2:$C$101,MATCH(D11,'Master Produk'!$A$2:$A$101,0)),0)+SUMIFS(F$1:F10,D$1:D10,D11))</f>
        <v/>
      </c>
      <c r="H11" s="12" t="str">
        <f t="shared" si="1"/>
        <v/>
      </c>
      <c r="I11" s="5"/>
      <c r="J11" s="5"/>
      <c r="K11" s="11" t="str">
        <f>IF(D11="","",IF(ISNA(MATCH(D11,'Master Produk'!$A$2:$A$101,0)),"SKU tidak ada di master",IF(AND(C11="Stok masuk",F11&lt;0),"Stok masuk harus +",IF(AND(C11="Stok keluar",F11&gt;0),"Stok keluar harus -",IF(H11&lt;0,"Stok negatif","OK")))))</f>
        <v/>
      </c>
    </row>
    <row r="12" spans="1:11" x14ac:dyDescent="0.3">
      <c r="A12" s="9" t="str">
        <f t="shared" si="0"/>
        <v/>
      </c>
      <c r="B12" s="10"/>
      <c r="C12" s="5"/>
      <c r="D12" s="5"/>
      <c r="E12" s="11" t="str">
        <f>IF(D12="","",IFERROR(INDEX('Master Produk'!$B$2:$B$101,MATCH(D12,'Master Produk'!$A$2:$A$101,0)),"SKU tidak ada di master"))</f>
        <v/>
      </c>
      <c r="F12" s="6"/>
      <c r="G12" s="12" t="str">
        <f>IF(D12="","",IFERROR(INDEX('Master Produk'!$C$2:$C$101,MATCH(D12,'Master Produk'!$A$2:$A$101,0)),0)+SUMIFS(F$1:F11,D$1:D11,D12))</f>
        <v/>
      </c>
      <c r="H12" s="12" t="str">
        <f t="shared" si="1"/>
        <v/>
      </c>
      <c r="I12" s="5"/>
      <c r="J12" s="5"/>
      <c r="K12" s="11" t="str">
        <f>IF(D12="","",IF(ISNA(MATCH(D12,'Master Produk'!$A$2:$A$101,0)),"SKU tidak ada di master",IF(AND(C12="Stok masuk",F12&lt;0),"Stok masuk harus +",IF(AND(C12="Stok keluar",F12&gt;0),"Stok keluar harus -",IF(H12&lt;0,"Stok negatif","OK")))))</f>
        <v/>
      </c>
    </row>
    <row r="13" spans="1:11" x14ac:dyDescent="0.3">
      <c r="A13" s="9" t="str">
        <f t="shared" si="0"/>
        <v/>
      </c>
      <c r="B13" s="10"/>
      <c r="C13" s="5"/>
      <c r="D13" s="5"/>
      <c r="E13" s="11" t="str">
        <f>IF(D13="","",IFERROR(INDEX('Master Produk'!$B$2:$B$101,MATCH(D13,'Master Produk'!$A$2:$A$101,0)),"SKU tidak ada di master"))</f>
        <v/>
      </c>
      <c r="F13" s="6"/>
      <c r="G13" s="12" t="str">
        <f>IF(D13="","",IFERROR(INDEX('Master Produk'!$C$2:$C$101,MATCH(D13,'Master Produk'!$A$2:$A$101,0)),0)+SUMIFS(F$1:F12,D$1:D12,D13))</f>
        <v/>
      </c>
      <c r="H13" s="12" t="str">
        <f t="shared" si="1"/>
        <v/>
      </c>
      <c r="I13" s="5"/>
      <c r="J13" s="5"/>
      <c r="K13" s="11" t="str">
        <f>IF(D13="","",IF(ISNA(MATCH(D13,'Master Produk'!$A$2:$A$101,0)),"SKU tidak ada di master",IF(AND(C13="Stok masuk",F13&lt;0),"Stok masuk harus +",IF(AND(C13="Stok keluar",F13&gt;0),"Stok keluar harus -",IF(H13&lt;0,"Stok negatif","OK")))))</f>
        <v/>
      </c>
    </row>
    <row r="14" spans="1:11" x14ac:dyDescent="0.3">
      <c r="A14" s="9" t="str">
        <f t="shared" si="0"/>
        <v/>
      </c>
      <c r="B14" s="10"/>
      <c r="C14" s="5"/>
      <c r="D14" s="5"/>
      <c r="E14" s="11" t="str">
        <f>IF(D14="","",IFERROR(INDEX('Master Produk'!$B$2:$B$101,MATCH(D14,'Master Produk'!$A$2:$A$101,0)),"SKU tidak ada di master"))</f>
        <v/>
      </c>
      <c r="F14" s="6"/>
      <c r="G14" s="12" t="str">
        <f>IF(D14="","",IFERROR(INDEX('Master Produk'!$C$2:$C$101,MATCH(D14,'Master Produk'!$A$2:$A$101,0)),0)+SUMIFS(F$1:F13,D$1:D13,D14))</f>
        <v/>
      </c>
      <c r="H14" s="12" t="str">
        <f t="shared" si="1"/>
        <v/>
      </c>
      <c r="I14" s="5"/>
      <c r="J14" s="5"/>
      <c r="K14" s="11" t="str">
        <f>IF(D14="","",IF(ISNA(MATCH(D14,'Master Produk'!$A$2:$A$101,0)),"SKU tidak ada di master",IF(AND(C14="Stok masuk",F14&lt;0),"Stok masuk harus +",IF(AND(C14="Stok keluar",F14&gt;0),"Stok keluar harus -",IF(H14&lt;0,"Stok negatif","OK")))))</f>
        <v/>
      </c>
    </row>
    <row r="15" spans="1:11" x14ac:dyDescent="0.3">
      <c r="A15" s="9" t="str">
        <f t="shared" si="0"/>
        <v/>
      </c>
      <c r="B15" s="10"/>
      <c r="C15" s="5"/>
      <c r="D15" s="5"/>
      <c r="E15" s="11" t="str">
        <f>IF(D15="","",IFERROR(INDEX('Master Produk'!$B$2:$B$101,MATCH(D15,'Master Produk'!$A$2:$A$101,0)),"SKU tidak ada di master"))</f>
        <v/>
      </c>
      <c r="F15" s="6"/>
      <c r="G15" s="12" t="str">
        <f>IF(D15="","",IFERROR(INDEX('Master Produk'!$C$2:$C$101,MATCH(D15,'Master Produk'!$A$2:$A$101,0)),0)+SUMIFS(F$1:F14,D$1:D14,D15))</f>
        <v/>
      </c>
      <c r="H15" s="12" t="str">
        <f t="shared" si="1"/>
        <v/>
      </c>
      <c r="I15" s="5"/>
      <c r="J15" s="5"/>
      <c r="K15" s="11" t="str">
        <f>IF(D15="","",IF(ISNA(MATCH(D15,'Master Produk'!$A$2:$A$101,0)),"SKU tidak ada di master",IF(AND(C15="Stok masuk",F15&lt;0),"Stok masuk harus +",IF(AND(C15="Stok keluar",F15&gt;0),"Stok keluar harus -",IF(H15&lt;0,"Stok negatif","OK")))))</f>
        <v/>
      </c>
    </row>
    <row r="16" spans="1:11" x14ac:dyDescent="0.3">
      <c r="A16" s="9" t="str">
        <f t="shared" si="0"/>
        <v/>
      </c>
      <c r="B16" s="10"/>
      <c r="C16" s="5"/>
      <c r="D16" s="5"/>
      <c r="E16" s="11" t="str">
        <f>IF(D16="","",IFERROR(INDEX('Master Produk'!$B$2:$B$101,MATCH(D16,'Master Produk'!$A$2:$A$101,0)),"SKU tidak ada di master"))</f>
        <v/>
      </c>
      <c r="F16" s="6"/>
      <c r="G16" s="12" t="str">
        <f>IF(D16="","",IFERROR(INDEX('Master Produk'!$C$2:$C$101,MATCH(D16,'Master Produk'!$A$2:$A$101,0)),0)+SUMIFS(F$1:F15,D$1:D15,D16))</f>
        <v/>
      </c>
      <c r="H16" s="12" t="str">
        <f t="shared" si="1"/>
        <v/>
      </c>
      <c r="I16" s="5"/>
      <c r="J16" s="5"/>
      <c r="K16" s="11" t="str">
        <f>IF(D16="","",IF(ISNA(MATCH(D16,'Master Produk'!$A$2:$A$101,0)),"SKU tidak ada di master",IF(AND(C16="Stok masuk",F16&lt;0),"Stok masuk harus +",IF(AND(C16="Stok keluar",F16&gt;0),"Stok keluar harus -",IF(H16&lt;0,"Stok negatif","OK")))))</f>
        <v/>
      </c>
    </row>
    <row r="17" spans="1:11" x14ac:dyDescent="0.3">
      <c r="A17" s="9" t="str">
        <f t="shared" si="0"/>
        <v/>
      </c>
      <c r="B17" s="10"/>
      <c r="C17" s="5"/>
      <c r="D17" s="5"/>
      <c r="E17" s="11" t="str">
        <f>IF(D17="","",IFERROR(INDEX('Master Produk'!$B$2:$B$101,MATCH(D17,'Master Produk'!$A$2:$A$101,0)),"SKU tidak ada di master"))</f>
        <v/>
      </c>
      <c r="F17" s="6"/>
      <c r="G17" s="12" t="str">
        <f>IF(D17="","",IFERROR(INDEX('Master Produk'!$C$2:$C$101,MATCH(D17,'Master Produk'!$A$2:$A$101,0)),0)+SUMIFS(F$1:F16,D$1:D16,D17))</f>
        <v/>
      </c>
      <c r="H17" s="12" t="str">
        <f t="shared" si="1"/>
        <v/>
      </c>
      <c r="I17" s="5"/>
      <c r="J17" s="5"/>
      <c r="K17" s="11" t="str">
        <f>IF(D17="","",IF(ISNA(MATCH(D17,'Master Produk'!$A$2:$A$101,0)),"SKU tidak ada di master",IF(AND(C17="Stok masuk",F17&lt;0),"Stok masuk harus +",IF(AND(C17="Stok keluar",F17&gt;0),"Stok keluar harus -",IF(H17&lt;0,"Stok negatif","OK")))))</f>
        <v/>
      </c>
    </row>
    <row r="18" spans="1:11" x14ac:dyDescent="0.3">
      <c r="A18" s="9" t="str">
        <f t="shared" si="0"/>
        <v/>
      </c>
      <c r="B18" s="10"/>
      <c r="C18" s="5"/>
      <c r="D18" s="5"/>
      <c r="E18" s="11" t="str">
        <f>IF(D18="","",IFERROR(INDEX('Master Produk'!$B$2:$B$101,MATCH(D18,'Master Produk'!$A$2:$A$101,0)),"SKU tidak ada di master"))</f>
        <v/>
      </c>
      <c r="F18" s="6"/>
      <c r="G18" s="12" t="str">
        <f>IF(D18="","",IFERROR(INDEX('Master Produk'!$C$2:$C$101,MATCH(D18,'Master Produk'!$A$2:$A$101,0)),0)+SUMIFS(F$1:F17,D$1:D17,D18))</f>
        <v/>
      </c>
      <c r="H18" s="12" t="str">
        <f t="shared" si="1"/>
        <v/>
      </c>
      <c r="I18" s="5"/>
      <c r="J18" s="5"/>
      <c r="K18" s="11" t="str">
        <f>IF(D18="","",IF(ISNA(MATCH(D18,'Master Produk'!$A$2:$A$101,0)),"SKU tidak ada di master",IF(AND(C18="Stok masuk",F18&lt;0),"Stok masuk harus +",IF(AND(C18="Stok keluar",F18&gt;0),"Stok keluar harus -",IF(H18&lt;0,"Stok negatif","OK")))))</f>
        <v/>
      </c>
    </row>
    <row r="19" spans="1:11" x14ac:dyDescent="0.3">
      <c r="A19" s="9" t="str">
        <f t="shared" si="0"/>
        <v/>
      </c>
      <c r="B19" s="10"/>
      <c r="C19" s="5"/>
      <c r="D19" s="5"/>
      <c r="E19" s="11" t="str">
        <f>IF(D19="","",IFERROR(INDEX('Master Produk'!$B$2:$B$101,MATCH(D19,'Master Produk'!$A$2:$A$101,0)),"SKU tidak ada di master"))</f>
        <v/>
      </c>
      <c r="F19" s="6"/>
      <c r="G19" s="12" t="str">
        <f>IF(D19="","",IFERROR(INDEX('Master Produk'!$C$2:$C$101,MATCH(D19,'Master Produk'!$A$2:$A$101,0)),0)+SUMIFS(F$1:F18,D$1:D18,D19))</f>
        <v/>
      </c>
      <c r="H19" s="12" t="str">
        <f t="shared" si="1"/>
        <v/>
      </c>
      <c r="I19" s="5"/>
      <c r="J19" s="5"/>
      <c r="K19" s="11" t="str">
        <f>IF(D19="","",IF(ISNA(MATCH(D19,'Master Produk'!$A$2:$A$101,0)),"SKU tidak ada di master",IF(AND(C19="Stok masuk",F19&lt;0),"Stok masuk harus +",IF(AND(C19="Stok keluar",F19&gt;0),"Stok keluar harus -",IF(H19&lt;0,"Stok negatif","OK")))))</f>
        <v/>
      </c>
    </row>
    <row r="20" spans="1:11" x14ac:dyDescent="0.3">
      <c r="A20" s="9" t="str">
        <f t="shared" si="0"/>
        <v/>
      </c>
      <c r="B20" s="10"/>
      <c r="C20" s="5"/>
      <c r="D20" s="5"/>
      <c r="E20" s="11" t="str">
        <f>IF(D20="","",IFERROR(INDEX('Master Produk'!$B$2:$B$101,MATCH(D20,'Master Produk'!$A$2:$A$101,0)),"SKU tidak ada di master"))</f>
        <v/>
      </c>
      <c r="F20" s="6"/>
      <c r="G20" s="12" t="str">
        <f>IF(D20="","",IFERROR(INDEX('Master Produk'!$C$2:$C$101,MATCH(D20,'Master Produk'!$A$2:$A$101,0)),0)+SUMIFS(F$1:F19,D$1:D19,D20))</f>
        <v/>
      </c>
      <c r="H20" s="12" t="str">
        <f t="shared" si="1"/>
        <v/>
      </c>
      <c r="I20" s="5"/>
      <c r="J20" s="5"/>
      <c r="K20" s="11" t="str">
        <f>IF(D20="","",IF(ISNA(MATCH(D20,'Master Produk'!$A$2:$A$101,0)),"SKU tidak ada di master",IF(AND(C20="Stok masuk",F20&lt;0),"Stok masuk harus +",IF(AND(C20="Stok keluar",F20&gt;0),"Stok keluar harus -",IF(H20&lt;0,"Stok negatif","OK")))))</f>
        <v/>
      </c>
    </row>
    <row r="21" spans="1:11" x14ac:dyDescent="0.3">
      <c r="A21" s="9" t="str">
        <f t="shared" si="0"/>
        <v/>
      </c>
      <c r="B21" s="10"/>
      <c r="C21" s="5"/>
      <c r="D21" s="5"/>
      <c r="E21" s="11" t="str">
        <f>IF(D21="","",IFERROR(INDEX('Master Produk'!$B$2:$B$101,MATCH(D21,'Master Produk'!$A$2:$A$101,0)),"SKU tidak ada di master"))</f>
        <v/>
      </c>
      <c r="F21" s="6"/>
      <c r="G21" s="12" t="str">
        <f>IF(D21="","",IFERROR(INDEX('Master Produk'!$C$2:$C$101,MATCH(D21,'Master Produk'!$A$2:$A$101,0)),0)+SUMIFS(F$1:F20,D$1:D20,D21))</f>
        <v/>
      </c>
      <c r="H21" s="12" t="str">
        <f t="shared" si="1"/>
        <v/>
      </c>
      <c r="I21" s="5"/>
      <c r="J21" s="5"/>
      <c r="K21" s="11" t="str">
        <f>IF(D21="","",IF(ISNA(MATCH(D21,'Master Produk'!$A$2:$A$101,0)),"SKU tidak ada di master",IF(AND(C21="Stok masuk",F21&lt;0),"Stok masuk harus +",IF(AND(C21="Stok keluar",F21&gt;0),"Stok keluar harus -",IF(H21&lt;0,"Stok negatif","OK")))))</f>
        <v/>
      </c>
    </row>
    <row r="22" spans="1:11" x14ac:dyDescent="0.3">
      <c r="A22" s="9" t="str">
        <f t="shared" si="0"/>
        <v/>
      </c>
      <c r="B22" s="10"/>
      <c r="C22" s="5"/>
      <c r="D22" s="5"/>
      <c r="E22" s="11" t="str">
        <f>IF(D22="","",IFERROR(INDEX('Master Produk'!$B$2:$B$101,MATCH(D22,'Master Produk'!$A$2:$A$101,0)),"SKU tidak ada di master"))</f>
        <v/>
      </c>
      <c r="F22" s="6"/>
      <c r="G22" s="12" t="str">
        <f>IF(D22="","",IFERROR(INDEX('Master Produk'!$C$2:$C$101,MATCH(D22,'Master Produk'!$A$2:$A$101,0)),0)+SUMIFS(F$1:F21,D$1:D21,D22))</f>
        <v/>
      </c>
      <c r="H22" s="12" t="str">
        <f t="shared" si="1"/>
        <v/>
      </c>
      <c r="I22" s="5"/>
      <c r="J22" s="5"/>
      <c r="K22" s="11" t="str">
        <f>IF(D22="","",IF(ISNA(MATCH(D22,'Master Produk'!$A$2:$A$101,0)),"SKU tidak ada di master",IF(AND(C22="Stok masuk",F22&lt;0),"Stok masuk harus +",IF(AND(C22="Stok keluar",F22&gt;0),"Stok keluar harus -",IF(H22&lt;0,"Stok negatif","OK")))))</f>
        <v/>
      </c>
    </row>
    <row r="23" spans="1:11" x14ac:dyDescent="0.3">
      <c r="A23" s="9" t="str">
        <f t="shared" si="0"/>
        <v/>
      </c>
      <c r="B23" s="10"/>
      <c r="C23" s="5"/>
      <c r="D23" s="5"/>
      <c r="E23" s="11" t="str">
        <f>IF(D23="","",IFERROR(INDEX('Master Produk'!$B$2:$B$101,MATCH(D23,'Master Produk'!$A$2:$A$101,0)),"SKU tidak ada di master"))</f>
        <v/>
      </c>
      <c r="F23" s="6"/>
      <c r="G23" s="12" t="str">
        <f>IF(D23="","",IFERROR(INDEX('Master Produk'!$C$2:$C$101,MATCH(D23,'Master Produk'!$A$2:$A$101,0)),0)+SUMIFS(F$1:F22,D$1:D22,D23))</f>
        <v/>
      </c>
      <c r="H23" s="12" t="str">
        <f t="shared" si="1"/>
        <v/>
      </c>
      <c r="I23" s="5"/>
      <c r="J23" s="5"/>
      <c r="K23" s="11" t="str">
        <f>IF(D23="","",IF(ISNA(MATCH(D23,'Master Produk'!$A$2:$A$101,0)),"SKU tidak ada di master",IF(AND(C23="Stok masuk",F23&lt;0),"Stok masuk harus +",IF(AND(C23="Stok keluar",F23&gt;0),"Stok keluar harus -",IF(H23&lt;0,"Stok negatif","OK")))))</f>
        <v/>
      </c>
    </row>
    <row r="24" spans="1:11" x14ac:dyDescent="0.3">
      <c r="A24" s="9" t="str">
        <f t="shared" si="0"/>
        <v/>
      </c>
      <c r="B24" s="10"/>
      <c r="C24" s="5"/>
      <c r="D24" s="5"/>
      <c r="E24" s="11" t="str">
        <f>IF(D24="","",IFERROR(INDEX('Master Produk'!$B$2:$B$101,MATCH(D24,'Master Produk'!$A$2:$A$101,0)),"SKU tidak ada di master"))</f>
        <v/>
      </c>
      <c r="F24" s="6"/>
      <c r="G24" s="12" t="str">
        <f>IF(D24="","",IFERROR(INDEX('Master Produk'!$C$2:$C$101,MATCH(D24,'Master Produk'!$A$2:$A$101,0)),0)+SUMIFS(F$1:F23,D$1:D23,D24))</f>
        <v/>
      </c>
      <c r="H24" s="12" t="str">
        <f t="shared" si="1"/>
        <v/>
      </c>
      <c r="I24" s="5"/>
      <c r="J24" s="5"/>
      <c r="K24" s="11" t="str">
        <f>IF(D24="","",IF(ISNA(MATCH(D24,'Master Produk'!$A$2:$A$101,0)),"SKU tidak ada di master",IF(AND(C24="Stok masuk",F24&lt;0),"Stok masuk harus +",IF(AND(C24="Stok keluar",F24&gt;0),"Stok keluar harus -",IF(H24&lt;0,"Stok negatif","OK")))))</f>
        <v/>
      </c>
    </row>
    <row r="25" spans="1:11" x14ac:dyDescent="0.3">
      <c r="A25" s="9" t="str">
        <f t="shared" si="0"/>
        <v/>
      </c>
      <c r="B25" s="10"/>
      <c r="C25" s="5"/>
      <c r="D25" s="5"/>
      <c r="E25" s="11" t="str">
        <f>IF(D25="","",IFERROR(INDEX('Master Produk'!$B$2:$B$101,MATCH(D25,'Master Produk'!$A$2:$A$101,0)),"SKU tidak ada di master"))</f>
        <v/>
      </c>
      <c r="F25" s="6"/>
      <c r="G25" s="12" t="str">
        <f>IF(D25="","",IFERROR(INDEX('Master Produk'!$C$2:$C$101,MATCH(D25,'Master Produk'!$A$2:$A$101,0)),0)+SUMIFS(F$1:F24,D$1:D24,D25))</f>
        <v/>
      </c>
      <c r="H25" s="12" t="str">
        <f t="shared" si="1"/>
        <v/>
      </c>
      <c r="I25" s="5"/>
      <c r="J25" s="5"/>
      <c r="K25" s="11" t="str">
        <f>IF(D25="","",IF(ISNA(MATCH(D25,'Master Produk'!$A$2:$A$101,0)),"SKU tidak ada di master",IF(AND(C25="Stok masuk",F25&lt;0),"Stok masuk harus +",IF(AND(C25="Stok keluar",F25&gt;0),"Stok keluar harus -",IF(H25&lt;0,"Stok negatif","OK")))))</f>
        <v/>
      </c>
    </row>
    <row r="26" spans="1:11" x14ac:dyDescent="0.3">
      <c r="A26" s="9" t="str">
        <f t="shared" si="0"/>
        <v/>
      </c>
      <c r="B26" s="10"/>
      <c r="C26" s="5"/>
      <c r="D26" s="5"/>
      <c r="E26" s="11" t="str">
        <f>IF(D26="","",IFERROR(INDEX('Master Produk'!$B$2:$B$101,MATCH(D26,'Master Produk'!$A$2:$A$101,0)),"SKU tidak ada di master"))</f>
        <v/>
      </c>
      <c r="F26" s="6"/>
      <c r="G26" s="12" t="str">
        <f>IF(D26="","",IFERROR(INDEX('Master Produk'!$C$2:$C$101,MATCH(D26,'Master Produk'!$A$2:$A$101,0)),0)+SUMIFS(F$1:F25,D$1:D25,D26))</f>
        <v/>
      </c>
      <c r="H26" s="12" t="str">
        <f t="shared" si="1"/>
        <v/>
      </c>
      <c r="I26" s="5"/>
      <c r="J26" s="5"/>
      <c r="K26" s="11" t="str">
        <f>IF(D26="","",IF(ISNA(MATCH(D26,'Master Produk'!$A$2:$A$101,0)),"SKU tidak ada di master",IF(AND(C26="Stok masuk",F26&lt;0),"Stok masuk harus +",IF(AND(C26="Stok keluar",F26&gt;0),"Stok keluar harus -",IF(H26&lt;0,"Stok negatif","OK")))))</f>
        <v/>
      </c>
    </row>
    <row r="27" spans="1:11" x14ac:dyDescent="0.3">
      <c r="A27" s="9" t="str">
        <f t="shared" si="0"/>
        <v/>
      </c>
      <c r="B27" s="10"/>
      <c r="C27" s="5"/>
      <c r="D27" s="5"/>
      <c r="E27" s="11" t="str">
        <f>IF(D27="","",IFERROR(INDEX('Master Produk'!$B$2:$B$101,MATCH(D27,'Master Produk'!$A$2:$A$101,0)),"SKU tidak ada di master"))</f>
        <v/>
      </c>
      <c r="F27" s="6"/>
      <c r="G27" s="12" t="str">
        <f>IF(D27="","",IFERROR(INDEX('Master Produk'!$C$2:$C$101,MATCH(D27,'Master Produk'!$A$2:$A$101,0)),0)+SUMIFS(F$1:F26,D$1:D26,D27))</f>
        <v/>
      </c>
      <c r="H27" s="12" t="str">
        <f t="shared" si="1"/>
        <v/>
      </c>
      <c r="I27" s="5"/>
      <c r="J27" s="5"/>
      <c r="K27" s="11" t="str">
        <f>IF(D27="","",IF(ISNA(MATCH(D27,'Master Produk'!$A$2:$A$101,0)),"SKU tidak ada di master",IF(AND(C27="Stok masuk",F27&lt;0),"Stok masuk harus +",IF(AND(C27="Stok keluar",F27&gt;0),"Stok keluar harus -",IF(H27&lt;0,"Stok negatif","OK")))))</f>
        <v/>
      </c>
    </row>
    <row r="28" spans="1:11" x14ac:dyDescent="0.3">
      <c r="A28" s="9" t="str">
        <f t="shared" si="0"/>
        <v/>
      </c>
      <c r="B28" s="10"/>
      <c r="C28" s="5"/>
      <c r="D28" s="5"/>
      <c r="E28" s="11" t="str">
        <f>IF(D28="","",IFERROR(INDEX('Master Produk'!$B$2:$B$101,MATCH(D28,'Master Produk'!$A$2:$A$101,0)),"SKU tidak ada di master"))</f>
        <v/>
      </c>
      <c r="F28" s="6"/>
      <c r="G28" s="12" t="str">
        <f>IF(D28="","",IFERROR(INDEX('Master Produk'!$C$2:$C$101,MATCH(D28,'Master Produk'!$A$2:$A$101,0)),0)+SUMIFS(F$1:F27,D$1:D27,D28))</f>
        <v/>
      </c>
      <c r="H28" s="12" t="str">
        <f t="shared" si="1"/>
        <v/>
      </c>
      <c r="I28" s="5"/>
      <c r="J28" s="5"/>
      <c r="K28" s="11" t="str">
        <f>IF(D28="","",IF(ISNA(MATCH(D28,'Master Produk'!$A$2:$A$101,0)),"SKU tidak ada di master",IF(AND(C28="Stok masuk",F28&lt;0),"Stok masuk harus +",IF(AND(C28="Stok keluar",F28&gt;0),"Stok keluar harus -",IF(H28&lt;0,"Stok negatif","OK")))))</f>
        <v/>
      </c>
    </row>
    <row r="29" spans="1:11" x14ac:dyDescent="0.3">
      <c r="A29" s="9" t="str">
        <f t="shared" si="0"/>
        <v/>
      </c>
      <c r="B29" s="10"/>
      <c r="C29" s="5"/>
      <c r="D29" s="5"/>
      <c r="E29" s="11" t="str">
        <f>IF(D29="","",IFERROR(INDEX('Master Produk'!$B$2:$B$101,MATCH(D29,'Master Produk'!$A$2:$A$101,0)),"SKU tidak ada di master"))</f>
        <v/>
      </c>
      <c r="F29" s="6"/>
      <c r="G29" s="12" t="str">
        <f>IF(D29="","",IFERROR(INDEX('Master Produk'!$C$2:$C$101,MATCH(D29,'Master Produk'!$A$2:$A$101,0)),0)+SUMIFS(F$1:F28,D$1:D28,D29))</f>
        <v/>
      </c>
      <c r="H29" s="12" t="str">
        <f t="shared" si="1"/>
        <v/>
      </c>
      <c r="I29" s="5"/>
      <c r="J29" s="5"/>
      <c r="K29" s="11" t="str">
        <f>IF(D29="","",IF(ISNA(MATCH(D29,'Master Produk'!$A$2:$A$101,0)),"SKU tidak ada di master",IF(AND(C29="Stok masuk",F29&lt;0),"Stok masuk harus +",IF(AND(C29="Stok keluar",F29&gt;0),"Stok keluar harus -",IF(H29&lt;0,"Stok negatif","OK")))))</f>
        <v/>
      </c>
    </row>
    <row r="30" spans="1:11" x14ac:dyDescent="0.3">
      <c r="A30" s="9" t="str">
        <f t="shared" si="0"/>
        <v/>
      </c>
      <c r="B30" s="10"/>
      <c r="C30" s="5"/>
      <c r="D30" s="5"/>
      <c r="E30" s="11" t="str">
        <f>IF(D30="","",IFERROR(INDEX('Master Produk'!$B$2:$B$101,MATCH(D30,'Master Produk'!$A$2:$A$101,0)),"SKU tidak ada di master"))</f>
        <v/>
      </c>
      <c r="F30" s="6"/>
      <c r="G30" s="12" t="str">
        <f>IF(D30="","",IFERROR(INDEX('Master Produk'!$C$2:$C$101,MATCH(D30,'Master Produk'!$A$2:$A$101,0)),0)+SUMIFS(F$1:F29,D$1:D29,D30))</f>
        <v/>
      </c>
      <c r="H30" s="12" t="str">
        <f t="shared" si="1"/>
        <v/>
      </c>
      <c r="I30" s="5"/>
      <c r="J30" s="5"/>
      <c r="K30" s="11" t="str">
        <f>IF(D30="","",IF(ISNA(MATCH(D30,'Master Produk'!$A$2:$A$101,0)),"SKU tidak ada di master",IF(AND(C30="Stok masuk",F30&lt;0),"Stok masuk harus +",IF(AND(C30="Stok keluar",F30&gt;0),"Stok keluar harus -",IF(H30&lt;0,"Stok negatif","OK")))))</f>
        <v/>
      </c>
    </row>
    <row r="31" spans="1:11" x14ac:dyDescent="0.3">
      <c r="A31" s="9" t="str">
        <f t="shared" si="0"/>
        <v/>
      </c>
      <c r="B31" s="10"/>
      <c r="C31" s="5"/>
      <c r="D31" s="5"/>
      <c r="E31" s="11" t="str">
        <f>IF(D31="","",IFERROR(INDEX('Master Produk'!$B$2:$B$101,MATCH(D31,'Master Produk'!$A$2:$A$101,0)),"SKU tidak ada di master"))</f>
        <v/>
      </c>
      <c r="F31" s="6"/>
      <c r="G31" s="12" t="str">
        <f>IF(D31="","",IFERROR(INDEX('Master Produk'!$C$2:$C$101,MATCH(D31,'Master Produk'!$A$2:$A$101,0)),0)+SUMIFS(F$1:F30,D$1:D30,D31))</f>
        <v/>
      </c>
      <c r="H31" s="12" t="str">
        <f t="shared" si="1"/>
        <v/>
      </c>
      <c r="I31" s="5"/>
      <c r="J31" s="5"/>
      <c r="K31" s="11" t="str">
        <f>IF(D31="","",IF(ISNA(MATCH(D31,'Master Produk'!$A$2:$A$101,0)),"SKU tidak ada di master",IF(AND(C31="Stok masuk",F31&lt;0),"Stok masuk harus +",IF(AND(C31="Stok keluar",F31&gt;0),"Stok keluar harus -",IF(H31&lt;0,"Stok negatif","OK")))))</f>
        <v/>
      </c>
    </row>
    <row r="32" spans="1:11" x14ac:dyDescent="0.3">
      <c r="A32" s="9" t="str">
        <f t="shared" si="0"/>
        <v/>
      </c>
      <c r="B32" s="10"/>
      <c r="C32" s="5"/>
      <c r="D32" s="5"/>
      <c r="E32" s="11" t="str">
        <f>IF(D32="","",IFERROR(INDEX('Master Produk'!$B$2:$B$101,MATCH(D32,'Master Produk'!$A$2:$A$101,0)),"SKU tidak ada di master"))</f>
        <v/>
      </c>
      <c r="F32" s="6"/>
      <c r="G32" s="12" t="str">
        <f>IF(D32="","",IFERROR(INDEX('Master Produk'!$C$2:$C$101,MATCH(D32,'Master Produk'!$A$2:$A$101,0)),0)+SUMIFS(F$1:F31,D$1:D31,D32))</f>
        <v/>
      </c>
      <c r="H32" s="12" t="str">
        <f t="shared" si="1"/>
        <v/>
      </c>
      <c r="I32" s="5"/>
      <c r="J32" s="5"/>
      <c r="K32" s="11" t="str">
        <f>IF(D32="","",IF(ISNA(MATCH(D32,'Master Produk'!$A$2:$A$101,0)),"SKU tidak ada di master",IF(AND(C32="Stok masuk",F32&lt;0),"Stok masuk harus +",IF(AND(C32="Stok keluar",F32&gt;0),"Stok keluar harus -",IF(H32&lt;0,"Stok negatif","OK")))))</f>
        <v/>
      </c>
    </row>
    <row r="33" spans="1:11" x14ac:dyDescent="0.3">
      <c r="A33" s="9" t="str">
        <f t="shared" si="0"/>
        <v/>
      </c>
      <c r="B33" s="10"/>
      <c r="C33" s="5"/>
      <c r="D33" s="5"/>
      <c r="E33" s="11" t="str">
        <f>IF(D33="","",IFERROR(INDEX('Master Produk'!$B$2:$B$101,MATCH(D33,'Master Produk'!$A$2:$A$101,0)),"SKU tidak ada di master"))</f>
        <v/>
      </c>
      <c r="F33" s="6"/>
      <c r="G33" s="12" t="str">
        <f>IF(D33="","",IFERROR(INDEX('Master Produk'!$C$2:$C$101,MATCH(D33,'Master Produk'!$A$2:$A$101,0)),0)+SUMIFS(F$1:F32,D$1:D32,D33))</f>
        <v/>
      </c>
      <c r="H33" s="12" t="str">
        <f t="shared" si="1"/>
        <v/>
      </c>
      <c r="I33" s="5"/>
      <c r="J33" s="5"/>
      <c r="K33" s="11" t="str">
        <f>IF(D33="","",IF(ISNA(MATCH(D33,'Master Produk'!$A$2:$A$101,0)),"SKU tidak ada di master",IF(AND(C33="Stok masuk",F33&lt;0),"Stok masuk harus +",IF(AND(C33="Stok keluar",F33&gt;0),"Stok keluar harus -",IF(H33&lt;0,"Stok negatif","OK")))))</f>
        <v/>
      </c>
    </row>
    <row r="34" spans="1:11" x14ac:dyDescent="0.3">
      <c r="A34" s="9" t="str">
        <f t="shared" si="0"/>
        <v/>
      </c>
      <c r="B34" s="10"/>
      <c r="C34" s="5"/>
      <c r="D34" s="5"/>
      <c r="E34" s="11" t="str">
        <f>IF(D34="","",IFERROR(INDEX('Master Produk'!$B$2:$B$101,MATCH(D34,'Master Produk'!$A$2:$A$101,0)),"SKU tidak ada di master"))</f>
        <v/>
      </c>
      <c r="F34" s="6"/>
      <c r="G34" s="12" t="str">
        <f>IF(D34="","",IFERROR(INDEX('Master Produk'!$C$2:$C$101,MATCH(D34,'Master Produk'!$A$2:$A$101,0)),0)+SUMIFS(F$1:F33,D$1:D33,D34))</f>
        <v/>
      </c>
      <c r="H34" s="12" t="str">
        <f t="shared" si="1"/>
        <v/>
      </c>
      <c r="I34" s="5"/>
      <c r="J34" s="5"/>
      <c r="K34" s="11" t="str">
        <f>IF(D34="","",IF(ISNA(MATCH(D34,'Master Produk'!$A$2:$A$101,0)),"SKU tidak ada di master",IF(AND(C34="Stok masuk",F34&lt;0),"Stok masuk harus +",IF(AND(C34="Stok keluar",F34&gt;0),"Stok keluar harus -",IF(H34&lt;0,"Stok negatif","OK")))))</f>
        <v/>
      </c>
    </row>
    <row r="35" spans="1:11" x14ac:dyDescent="0.3">
      <c r="A35" s="9" t="str">
        <f t="shared" si="0"/>
        <v/>
      </c>
      <c r="B35" s="10"/>
      <c r="C35" s="5"/>
      <c r="D35" s="5"/>
      <c r="E35" s="11" t="str">
        <f>IF(D35="","",IFERROR(INDEX('Master Produk'!$B$2:$B$101,MATCH(D35,'Master Produk'!$A$2:$A$101,0)),"SKU tidak ada di master"))</f>
        <v/>
      </c>
      <c r="F35" s="6"/>
      <c r="G35" s="12" t="str">
        <f>IF(D35="","",IFERROR(INDEX('Master Produk'!$C$2:$C$101,MATCH(D35,'Master Produk'!$A$2:$A$101,0)),0)+SUMIFS(F$1:F34,D$1:D34,D35))</f>
        <v/>
      </c>
      <c r="H35" s="12" t="str">
        <f t="shared" si="1"/>
        <v/>
      </c>
      <c r="I35" s="5"/>
      <c r="J35" s="5"/>
      <c r="K35" s="11" t="str">
        <f>IF(D35="","",IF(ISNA(MATCH(D35,'Master Produk'!$A$2:$A$101,0)),"SKU tidak ada di master",IF(AND(C35="Stok masuk",F35&lt;0),"Stok masuk harus +",IF(AND(C35="Stok keluar",F35&gt;0),"Stok keluar harus -",IF(H35&lt;0,"Stok negatif","OK")))))</f>
        <v/>
      </c>
    </row>
    <row r="36" spans="1:11" x14ac:dyDescent="0.3">
      <c r="A36" s="9" t="str">
        <f t="shared" si="0"/>
        <v/>
      </c>
      <c r="B36" s="10"/>
      <c r="C36" s="5"/>
      <c r="D36" s="5"/>
      <c r="E36" s="11" t="str">
        <f>IF(D36="","",IFERROR(INDEX('Master Produk'!$B$2:$B$101,MATCH(D36,'Master Produk'!$A$2:$A$101,0)),"SKU tidak ada di master"))</f>
        <v/>
      </c>
      <c r="F36" s="6"/>
      <c r="G36" s="12" t="str">
        <f>IF(D36="","",IFERROR(INDEX('Master Produk'!$C$2:$C$101,MATCH(D36,'Master Produk'!$A$2:$A$101,0)),0)+SUMIFS(F$1:F35,D$1:D35,D36))</f>
        <v/>
      </c>
      <c r="H36" s="12" t="str">
        <f t="shared" si="1"/>
        <v/>
      </c>
      <c r="I36" s="5"/>
      <c r="J36" s="5"/>
      <c r="K36" s="11" t="str">
        <f>IF(D36="","",IF(ISNA(MATCH(D36,'Master Produk'!$A$2:$A$101,0)),"SKU tidak ada di master",IF(AND(C36="Stok masuk",F36&lt;0),"Stok masuk harus +",IF(AND(C36="Stok keluar",F36&gt;0),"Stok keluar harus -",IF(H36&lt;0,"Stok negatif","OK")))))</f>
        <v/>
      </c>
    </row>
    <row r="37" spans="1:11" x14ac:dyDescent="0.3">
      <c r="A37" s="9" t="str">
        <f t="shared" si="0"/>
        <v/>
      </c>
      <c r="B37" s="10"/>
      <c r="C37" s="5"/>
      <c r="D37" s="5"/>
      <c r="E37" s="11" t="str">
        <f>IF(D37="","",IFERROR(INDEX('Master Produk'!$B$2:$B$101,MATCH(D37,'Master Produk'!$A$2:$A$101,0)),"SKU tidak ada di master"))</f>
        <v/>
      </c>
      <c r="F37" s="6"/>
      <c r="G37" s="12" t="str">
        <f>IF(D37="","",IFERROR(INDEX('Master Produk'!$C$2:$C$101,MATCH(D37,'Master Produk'!$A$2:$A$101,0)),0)+SUMIFS(F$1:F36,D$1:D36,D37))</f>
        <v/>
      </c>
      <c r="H37" s="12" t="str">
        <f t="shared" si="1"/>
        <v/>
      </c>
      <c r="I37" s="5"/>
      <c r="J37" s="5"/>
      <c r="K37" s="11" t="str">
        <f>IF(D37="","",IF(ISNA(MATCH(D37,'Master Produk'!$A$2:$A$101,0)),"SKU tidak ada di master",IF(AND(C37="Stok masuk",F37&lt;0),"Stok masuk harus +",IF(AND(C37="Stok keluar",F37&gt;0),"Stok keluar harus -",IF(H37&lt;0,"Stok negatif","OK")))))</f>
        <v/>
      </c>
    </row>
    <row r="38" spans="1:11" x14ac:dyDescent="0.3">
      <c r="A38" s="9" t="str">
        <f t="shared" si="0"/>
        <v/>
      </c>
      <c r="B38" s="10"/>
      <c r="C38" s="5"/>
      <c r="D38" s="5"/>
      <c r="E38" s="11" t="str">
        <f>IF(D38="","",IFERROR(INDEX('Master Produk'!$B$2:$B$101,MATCH(D38,'Master Produk'!$A$2:$A$101,0)),"SKU tidak ada di master"))</f>
        <v/>
      </c>
      <c r="F38" s="6"/>
      <c r="G38" s="12" t="str">
        <f>IF(D38="","",IFERROR(INDEX('Master Produk'!$C$2:$C$101,MATCH(D38,'Master Produk'!$A$2:$A$101,0)),0)+SUMIFS(F$1:F37,D$1:D37,D38))</f>
        <v/>
      </c>
      <c r="H38" s="12" t="str">
        <f t="shared" si="1"/>
        <v/>
      </c>
      <c r="I38" s="5"/>
      <c r="J38" s="5"/>
      <c r="K38" s="11" t="str">
        <f>IF(D38="","",IF(ISNA(MATCH(D38,'Master Produk'!$A$2:$A$101,0)),"SKU tidak ada di master",IF(AND(C38="Stok masuk",F38&lt;0),"Stok masuk harus +",IF(AND(C38="Stok keluar",F38&gt;0),"Stok keluar harus -",IF(H38&lt;0,"Stok negatif","OK")))))</f>
        <v/>
      </c>
    </row>
    <row r="39" spans="1:11" x14ac:dyDescent="0.3">
      <c r="A39" s="9" t="str">
        <f t="shared" si="0"/>
        <v/>
      </c>
      <c r="B39" s="10"/>
      <c r="C39" s="5"/>
      <c r="D39" s="5"/>
      <c r="E39" s="11" t="str">
        <f>IF(D39="","",IFERROR(INDEX('Master Produk'!$B$2:$B$101,MATCH(D39,'Master Produk'!$A$2:$A$101,0)),"SKU tidak ada di master"))</f>
        <v/>
      </c>
      <c r="F39" s="6"/>
      <c r="G39" s="12" t="str">
        <f>IF(D39="","",IFERROR(INDEX('Master Produk'!$C$2:$C$101,MATCH(D39,'Master Produk'!$A$2:$A$101,0)),0)+SUMIFS(F$1:F38,D$1:D38,D39))</f>
        <v/>
      </c>
      <c r="H39" s="12" t="str">
        <f t="shared" si="1"/>
        <v/>
      </c>
      <c r="I39" s="5"/>
      <c r="J39" s="5"/>
      <c r="K39" s="11" t="str">
        <f>IF(D39="","",IF(ISNA(MATCH(D39,'Master Produk'!$A$2:$A$101,0)),"SKU tidak ada di master",IF(AND(C39="Stok masuk",F39&lt;0),"Stok masuk harus +",IF(AND(C39="Stok keluar",F39&gt;0),"Stok keluar harus -",IF(H39&lt;0,"Stok negatif","OK")))))</f>
        <v/>
      </c>
    </row>
    <row r="40" spans="1:11" x14ac:dyDescent="0.3">
      <c r="A40" s="9" t="str">
        <f t="shared" si="0"/>
        <v/>
      </c>
      <c r="B40" s="10"/>
      <c r="C40" s="5"/>
      <c r="D40" s="5"/>
      <c r="E40" s="11" t="str">
        <f>IF(D40="","",IFERROR(INDEX('Master Produk'!$B$2:$B$101,MATCH(D40,'Master Produk'!$A$2:$A$101,0)),"SKU tidak ada di master"))</f>
        <v/>
      </c>
      <c r="F40" s="6"/>
      <c r="G40" s="12" t="str">
        <f>IF(D40="","",IFERROR(INDEX('Master Produk'!$C$2:$C$101,MATCH(D40,'Master Produk'!$A$2:$A$101,0)),0)+SUMIFS(F$1:F39,D$1:D39,D40))</f>
        <v/>
      </c>
      <c r="H40" s="12" t="str">
        <f t="shared" si="1"/>
        <v/>
      </c>
      <c r="I40" s="5"/>
      <c r="J40" s="5"/>
      <c r="K40" s="11" t="str">
        <f>IF(D40="","",IF(ISNA(MATCH(D40,'Master Produk'!$A$2:$A$101,0)),"SKU tidak ada di master",IF(AND(C40="Stok masuk",F40&lt;0),"Stok masuk harus +",IF(AND(C40="Stok keluar",F40&gt;0),"Stok keluar harus -",IF(H40&lt;0,"Stok negatif","OK")))))</f>
        <v/>
      </c>
    </row>
    <row r="41" spans="1:11" x14ac:dyDescent="0.3">
      <c r="A41" s="9" t="str">
        <f t="shared" si="0"/>
        <v/>
      </c>
      <c r="B41" s="10"/>
      <c r="C41" s="5"/>
      <c r="D41" s="5"/>
      <c r="E41" s="11" t="str">
        <f>IF(D41="","",IFERROR(INDEX('Master Produk'!$B$2:$B$101,MATCH(D41,'Master Produk'!$A$2:$A$101,0)),"SKU tidak ada di master"))</f>
        <v/>
      </c>
      <c r="F41" s="6"/>
      <c r="G41" s="12" t="str">
        <f>IF(D41="","",IFERROR(INDEX('Master Produk'!$C$2:$C$101,MATCH(D41,'Master Produk'!$A$2:$A$101,0)),0)+SUMIFS(F$1:F40,D$1:D40,D41))</f>
        <v/>
      </c>
      <c r="H41" s="12" t="str">
        <f t="shared" si="1"/>
        <v/>
      </c>
      <c r="I41" s="5"/>
      <c r="J41" s="5"/>
      <c r="K41" s="11" t="str">
        <f>IF(D41="","",IF(ISNA(MATCH(D41,'Master Produk'!$A$2:$A$101,0)),"SKU tidak ada di master",IF(AND(C41="Stok masuk",F41&lt;0),"Stok masuk harus +",IF(AND(C41="Stok keluar",F41&gt;0),"Stok keluar harus -",IF(H41&lt;0,"Stok negatif","OK")))))</f>
        <v/>
      </c>
    </row>
    <row r="42" spans="1:11" x14ac:dyDescent="0.3">
      <c r="A42" s="9" t="str">
        <f t="shared" si="0"/>
        <v/>
      </c>
      <c r="B42" s="10"/>
      <c r="C42" s="5"/>
      <c r="D42" s="5"/>
      <c r="E42" s="11" t="str">
        <f>IF(D42="","",IFERROR(INDEX('Master Produk'!$B$2:$B$101,MATCH(D42,'Master Produk'!$A$2:$A$101,0)),"SKU tidak ada di master"))</f>
        <v/>
      </c>
      <c r="F42" s="6"/>
      <c r="G42" s="12" t="str">
        <f>IF(D42="","",IFERROR(INDEX('Master Produk'!$C$2:$C$101,MATCH(D42,'Master Produk'!$A$2:$A$101,0)),0)+SUMIFS(F$1:F41,D$1:D41,D42))</f>
        <v/>
      </c>
      <c r="H42" s="12" t="str">
        <f t="shared" si="1"/>
        <v/>
      </c>
      <c r="I42" s="5"/>
      <c r="J42" s="5"/>
      <c r="K42" s="11" t="str">
        <f>IF(D42="","",IF(ISNA(MATCH(D42,'Master Produk'!$A$2:$A$101,0)),"SKU tidak ada di master",IF(AND(C42="Stok masuk",F42&lt;0),"Stok masuk harus +",IF(AND(C42="Stok keluar",F42&gt;0),"Stok keluar harus -",IF(H42&lt;0,"Stok negatif","OK")))))</f>
        <v/>
      </c>
    </row>
    <row r="43" spans="1:11" x14ac:dyDescent="0.3">
      <c r="A43" s="9" t="str">
        <f t="shared" si="0"/>
        <v/>
      </c>
      <c r="B43" s="10"/>
      <c r="C43" s="5"/>
      <c r="D43" s="5"/>
      <c r="E43" s="11" t="str">
        <f>IF(D43="","",IFERROR(INDEX('Master Produk'!$B$2:$B$101,MATCH(D43,'Master Produk'!$A$2:$A$101,0)),"SKU tidak ada di master"))</f>
        <v/>
      </c>
      <c r="F43" s="6"/>
      <c r="G43" s="12" t="str">
        <f>IF(D43="","",IFERROR(INDEX('Master Produk'!$C$2:$C$101,MATCH(D43,'Master Produk'!$A$2:$A$101,0)),0)+SUMIFS(F$1:F42,D$1:D42,D43))</f>
        <v/>
      </c>
      <c r="H43" s="12" t="str">
        <f t="shared" si="1"/>
        <v/>
      </c>
      <c r="I43" s="5"/>
      <c r="J43" s="5"/>
      <c r="K43" s="11" t="str">
        <f>IF(D43="","",IF(ISNA(MATCH(D43,'Master Produk'!$A$2:$A$101,0)),"SKU tidak ada di master",IF(AND(C43="Stok masuk",F43&lt;0),"Stok masuk harus +",IF(AND(C43="Stok keluar",F43&gt;0),"Stok keluar harus -",IF(H43&lt;0,"Stok negatif","OK")))))</f>
        <v/>
      </c>
    </row>
    <row r="44" spans="1:11" x14ac:dyDescent="0.3">
      <c r="A44" s="9" t="str">
        <f t="shared" si="0"/>
        <v/>
      </c>
      <c r="B44" s="10"/>
      <c r="C44" s="5"/>
      <c r="D44" s="5"/>
      <c r="E44" s="11" t="str">
        <f>IF(D44="","",IFERROR(INDEX('Master Produk'!$B$2:$B$101,MATCH(D44,'Master Produk'!$A$2:$A$101,0)),"SKU tidak ada di master"))</f>
        <v/>
      </c>
      <c r="F44" s="6"/>
      <c r="G44" s="12" t="str">
        <f>IF(D44="","",IFERROR(INDEX('Master Produk'!$C$2:$C$101,MATCH(D44,'Master Produk'!$A$2:$A$101,0)),0)+SUMIFS(F$1:F43,D$1:D43,D44))</f>
        <v/>
      </c>
      <c r="H44" s="12" t="str">
        <f t="shared" si="1"/>
        <v/>
      </c>
      <c r="I44" s="5"/>
      <c r="J44" s="5"/>
      <c r="K44" s="11" t="str">
        <f>IF(D44="","",IF(ISNA(MATCH(D44,'Master Produk'!$A$2:$A$101,0)),"SKU tidak ada di master",IF(AND(C44="Stok masuk",F44&lt;0),"Stok masuk harus +",IF(AND(C44="Stok keluar",F44&gt;0),"Stok keluar harus -",IF(H44&lt;0,"Stok negatif","OK")))))</f>
        <v/>
      </c>
    </row>
    <row r="45" spans="1:11" x14ac:dyDescent="0.3">
      <c r="A45" s="9" t="str">
        <f t="shared" si="0"/>
        <v/>
      </c>
      <c r="B45" s="10"/>
      <c r="C45" s="5"/>
      <c r="D45" s="5"/>
      <c r="E45" s="11" t="str">
        <f>IF(D45="","",IFERROR(INDEX('Master Produk'!$B$2:$B$101,MATCH(D45,'Master Produk'!$A$2:$A$101,0)),"SKU tidak ada di master"))</f>
        <v/>
      </c>
      <c r="F45" s="6"/>
      <c r="G45" s="12" t="str">
        <f>IF(D45="","",IFERROR(INDEX('Master Produk'!$C$2:$C$101,MATCH(D45,'Master Produk'!$A$2:$A$101,0)),0)+SUMIFS(F$1:F44,D$1:D44,D45))</f>
        <v/>
      </c>
      <c r="H45" s="12" t="str">
        <f t="shared" si="1"/>
        <v/>
      </c>
      <c r="I45" s="5"/>
      <c r="J45" s="5"/>
      <c r="K45" s="11" t="str">
        <f>IF(D45="","",IF(ISNA(MATCH(D45,'Master Produk'!$A$2:$A$101,0)),"SKU tidak ada di master",IF(AND(C45="Stok masuk",F45&lt;0),"Stok masuk harus +",IF(AND(C45="Stok keluar",F45&gt;0),"Stok keluar harus -",IF(H45&lt;0,"Stok negatif","OK")))))</f>
        <v/>
      </c>
    </row>
    <row r="46" spans="1:11" x14ac:dyDescent="0.3">
      <c r="A46" s="9" t="str">
        <f t="shared" si="0"/>
        <v/>
      </c>
      <c r="B46" s="10"/>
      <c r="C46" s="5"/>
      <c r="D46" s="5"/>
      <c r="E46" s="11" t="str">
        <f>IF(D46="","",IFERROR(INDEX('Master Produk'!$B$2:$B$101,MATCH(D46,'Master Produk'!$A$2:$A$101,0)),"SKU tidak ada di master"))</f>
        <v/>
      </c>
      <c r="F46" s="6"/>
      <c r="G46" s="12" t="str">
        <f>IF(D46="","",IFERROR(INDEX('Master Produk'!$C$2:$C$101,MATCH(D46,'Master Produk'!$A$2:$A$101,0)),0)+SUMIFS(F$1:F45,D$1:D45,D46))</f>
        <v/>
      </c>
      <c r="H46" s="12" t="str">
        <f t="shared" si="1"/>
        <v/>
      </c>
      <c r="I46" s="5"/>
      <c r="J46" s="5"/>
      <c r="K46" s="11" t="str">
        <f>IF(D46="","",IF(ISNA(MATCH(D46,'Master Produk'!$A$2:$A$101,0)),"SKU tidak ada di master",IF(AND(C46="Stok masuk",F46&lt;0),"Stok masuk harus +",IF(AND(C46="Stok keluar",F46&gt;0),"Stok keluar harus -",IF(H46&lt;0,"Stok negatif","OK")))))</f>
        <v/>
      </c>
    </row>
    <row r="47" spans="1:11" x14ac:dyDescent="0.3">
      <c r="A47" s="9" t="str">
        <f t="shared" si="0"/>
        <v/>
      </c>
      <c r="B47" s="10"/>
      <c r="C47" s="5"/>
      <c r="D47" s="5"/>
      <c r="E47" s="11" t="str">
        <f>IF(D47="","",IFERROR(INDEX('Master Produk'!$B$2:$B$101,MATCH(D47,'Master Produk'!$A$2:$A$101,0)),"SKU tidak ada di master"))</f>
        <v/>
      </c>
      <c r="F47" s="6"/>
      <c r="G47" s="12" t="str">
        <f>IF(D47="","",IFERROR(INDEX('Master Produk'!$C$2:$C$101,MATCH(D47,'Master Produk'!$A$2:$A$101,0)),0)+SUMIFS(F$1:F46,D$1:D46,D47))</f>
        <v/>
      </c>
      <c r="H47" s="12" t="str">
        <f t="shared" si="1"/>
        <v/>
      </c>
      <c r="I47" s="5"/>
      <c r="J47" s="5"/>
      <c r="K47" s="11" t="str">
        <f>IF(D47="","",IF(ISNA(MATCH(D47,'Master Produk'!$A$2:$A$101,0)),"SKU tidak ada di master",IF(AND(C47="Stok masuk",F47&lt;0),"Stok masuk harus +",IF(AND(C47="Stok keluar",F47&gt;0),"Stok keluar harus -",IF(H47&lt;0,"Stok negatif","OK")))))</f>
        <v/>
      </c>
    </row>
    <row r="48" spans="1:11" x14ac:dyDescent="0.3">
      <c r="A48" s="9" t="str">
        <f t="shared" si="0"/>
        <v/>
      </c>
      <c r="B48" s="10"/>
      <c r="C48" s="5"/>
      <c r="D48" s="5"/>
      <c r="E48" s="11" t="str">
        <f>IF(D48="","",IFERROR(INDEX('Master Produk'!$B$2:$B$101,MATCH(D48,'Master Produk'!$A$2:$A$101,0)),"SKU tidak ada di master"))</f>
        <v/>
      </c>
      <c r="F48" s="6"/>
      <c r="G48" s="12" t="str">
        <f>IF(D48="","",IFERROR(INDEX('Master Produk'!$C$2:$C$101,MATCH(D48,'Master Produk'!$A$2:$A$101,0)),0)+SUMIFS(F$1:F47,D$1:D47,D48))</f>
        <v/>
      </c>
      <c r="H48" s="12" t="str">
        <f t="shared" si="1"/>
        <v/>
      </c>
      <c r="I48" s="5"/>
      <c r="J48" s="5"/>
      <c r="K48" s="11" t="str">
        <f>IF(D48="","",IF(ISNA(MATCH(D48,'Master Produk'!$A$2:$A$101,0)),"SKU tidak ada di master",IF(AND(C48="Stok masuk",F48&lt;0),"Stok masuk harus +",IF(AND(C48="Stok keluar",F48&gt;0),"Stok keluar harus -",IF(H48&lt;0,"Stok negatif","OK")))))</f>
        <v/>
      </c>
    </row>
    <row r="49" spans="1:11" x14ac:dyDescent="0.3">
      <c r="A49" s="9" t="str">
        <f t="shared" si="0"/>
        <v/>
      </c>
      <c r="B49" s="10"/>
      <c r="C49" s="5"/>
      <c r="D49" s="5"/>
      <c r="E49" s="11" t="str">
        <f>IF(D49="","",IFERROR(INDEX('Master Produk'!$B$2:$B$101,MATCH(D49,'Master Produk'!$A$2:$A$101,0)),"SKU tidak ada di master"))</f>
        <v/>
      </c>
      <c r="F49" s="6"/>
      <c r="G49" s="12" t="str">
        <f>IF(D49="","",IFERROR(INDEX('Master Produk'!$C$2:$C$101,MATCH(D49,'Master Produk'!$A$2:$A$101,0)),0)+SUMIFS(F$1:F48,D$1:D48,D49))</f>
        <v/>
      </c>
      <c r="H49" s="12" t="str">
        <f t="shared" si="1"/>
        <v/>
      </c>
      <c r="I49" s="5"/>
      <c r="J49" s="5"/>
      <c r="K49" s="11" t="str">
        <f>IF(D49="","",IF(ISNA(MATCH(D49,'Master Produk'!$A$2:$A$101,0)),"SKU tidak ada di master",IF(AND(C49="Stok masuk",F49&lt;0),"Stok masuk harus +",IF(AND(C49="Stok keluar",F49&gt;0),"Stok keluar harus -",IF(H49&lt;0,"Stok negatif","OK")))))</f>
        <v/>
      </c>
    </row>
    <row r="50" spans="1:11" x14ac:dyDescent="0.3">
      <c r="A50" s="9" t="str">
        <f t="shared" si="0"/>
        <v/>
      </c>
      <c r="B50" s="10"/>
      <c r="C50" s="5"/>
      <c r="D50" s="5"/>
      <c r="E50" s="11" t="str">
        <f>IF(D50="","",IFERROR(INDEX('Master Produk'!$B$2:$B$101,MATCH(D50,'Master Produk'!$A$2:$A$101,0)),"SKU tidak ada di master"))</f>
        <v/>
      </c>
      <c r="F50" s="6"/>
      <c r="G50" s="12" t="str">
        <f>IF(D50="","",IFERROR(INDEX('Master Produk'!$C$2:$C$101,MATCH(D50,'Master Produk'!$A$2:$A$101,0)),0)+SUMIFS(F$1:F49,D$1:D49,D50))</f>
        <v/>
      </c>
      <c r="H50" s="12" t="str">
        <f t="shared" si="1"/>
        <v/>
      </c>
      <c r="I50" s="5"/>
      <c r="J50" s="5"/>
      <c r="K50" s="11" t="str">
        <f>IF(D50="","",IF(ISNA(MATCH(D50,'Master Produk'!$A$2:$A$101,0)),"SKU tidak ada di master",IF(AND(C50="Stok masuk",F50&lt;0),"Stok masuk harus +",IF(AND(C50="Stok keluar",F50&gt;0),"Stok keluar harus -",IF(H50&lt;0,"Stok negatif","OK")))))</f>
        <v/>
      </c>
    </row>
    <row r="51" spans="1:11" x14ac:dyDescent="0.3">
      <c r="A51" s="9" t="str">
        <f t="shared" si="0"/>
        <v/>
      </c>
      <c r="B51" s="10"/>
      <c r="C51" s="5"/>
      <c r="D51" s="5"/>
      <c r="E51" s="11" t="str">
        <f>IF(D51="","",IFERROR(INDEX('Master Produk'!$B$2:$B$101,MATCH(D51,'Master Produk'!$A$2:$A$101,0)),"SKU tidak ada di master"))</f>
        <v/>
      </c>
      <c r="F51" s="6"/>
      <c r="G51" s="12" t="str">
        <f>IF(D51="","",IFERROR(INDEX('Master Produk'!$C$2:$C$101,MATCH(D51,'Master Produk'!$A$2:$A$101,0)),0)+SUMIFS(F$1:F50,D$1:D50,D51))</f>
        <v/>
      </c>
      <c r="H51" s="12" t="str">
        <f t="shared" si="1"/>
        <v/>
      </c>
      <c r="I51" s="5"/>
      <c r="J51" s="5"/>
      <c r="K51" s="11" t="str">
        <f>IF(D51="","",IF(ISNA(MATCH(D51,'Master Produk'!$A$2:$A$101,0)),"SKU tidak ada di master",IF(AND(C51="Stok masuk",F51&lt;0),"Stok masuk harus +",IF(AND(C51="Stok keluar",F51&gt;0),"Stok keluar harus -",IF(H51&lt;0,"Stok negatif","OK")))))</f>
        <v/>
      </c>
    </row>
    <row r="52" spans="1:11" x14ac:dyDescent="0.3">
      <c r="A52" s="9" t="str">
        <f t="shared" si="0"/>
        <v/>
      </c>
      <c r="B52" s="10"/>
      <c r="C52" s="5"/>
      <c r="D52" s="5"/>
      <c r="E52" s="11" t="str">
        <f>IF(D52="","",IFERROR(INDEX('Master Produk'!$B$2:$B$101,MATCH(D52,'Master Produk'!$A$2:$A$101,0)),"SKU tidak ada di master"))</f>
        <v/>
      </c>
      <c r="F52" s="6"/>
      <c r="G52" s="12" t="str">
        <f>IF(D52="","",IFERROR(INDEX('Master Produk'!$C$2:$C$101,MATCH(D52,'Master Produk'!$A$2:$A$101,0)),0)+SUMIFS(F$1:F51,D$1:D51,D52))</f>
        <v/>
      </c>
      <c r="H52" s="12" t="str">
        <f t="shared" si="1"/>
        <v/>
      </c>
      <c r="I52" s="5"/>
      <c r="J52" s="5"/>
      <c r="K52" s="11" t="str">
        <f>IF(D52="","",IF(ISNA(MATCH(D52,'Master Produk'!$A$2:$A$101,0)),"SKU tidak ada di master",IF(AND(C52="Stok masuk",F52&lt;0),"Stok masuk harus +",IF(AND(C52="Stok keluar",F52&gt;0),"Stok keluar harus -",IF(H52&lt;0,"Stok negatif","OK")))))</f>
        <v/>
      </c>
    </row>
    <row r="53" spans="1:11" x14ac:dyDescent="0.3">
      <c r="A53" s="9" t="str">
        <f t="shared" si="0"/>
        <v/>
      </c>
      <c r="B53" s="10"/>
      <c r="C53" s="5"/>
      <c r="D53" s="5"/>
      <c r="E53" s="11" t="str">
        <f>IF(D53="","",IFERROR(INDEX('Master Produk'!$B$2:$B$101,MATCH(D53,'Master Produk'!$A$2:$A$101,0)),"SKU tidak ada di master"))</f>
        <v/>
      </c>
      <c r="F53" s="6"/>
      <c r="G53" s="12" t="str">
        <f>IF(D53="","",IFERROR(INDEX('Master Produk'!$C$2:$C$101,MATCH(D53,'Master Produk'!$A$2:$A$101,0)),0)+SUMIFS(F$1:F52,D$1:D52,D53))</f>
        <v/>
      </c>
      <c r="H53" s="12" t="str">
        <f t="shared" si="1"/>
        <v/>
      </c>
      <c r="I53" s="5"/>
      <c r="J53" s="5"/>
      <c r="K53" s="11" t="str">
        <f>IF(D53="","",IF(ISNA(MATCH(D53,'Master Produk'!$A$2:$A$101,0)),"SKU tidak ada di master",IF(AND(C53="Stok masuk",F53&lt;0),"Stok masuk harus +",IF(AND(C53="Stok keluar",F53&gt;0),"Stok keluar harus -",IF(H53&lt;0,"Stok negatif","OK")))))</f>
        <v/>
      </c>
    </row>
    <row r="54" spans="1:11" x14ac:dyDescent="0.3">
      <c r="A54" s="9" t="str">
        <f t="shared" si="0"/>
        <v/>
      </c>
      <c r="B54" s="10"/>
      <c r="C54" s="5"/>
      <c r="D54" s="5"/>
      <c r="E54" s="11" t="str">
        <f>IF(D54="","",IFERROR(INDEX('Master Produk'!$B$2:$B$101,MATCH(D54,'Master Produk'!$A$2:$A$101,0)),"SKU tidak ada di master"))</f>
        <v/>
      </c>
      <c r="F54" s="6"/>
      <c r="G54" s="12" t="str">
        <f>IF(D54="","",IFERROR(INDEX('Master Produk'!$C$2:$C$101,MATCH(D54,'Master Produk'!$A$2:$A$101,0)),0)+SUMIFS(F$1:F53,D$1:D53,D54))</f>
        <v/>
      </c>
      <c r="H54" s="12" t="str">
        <f t="shared" si="1"/>
        <v/>
      </c>
      <c r="I54" s="5"/>
      <c r="J54" s="5"/>
      <c r="K54" s="11" t="str">
        <f>IF(D54="","",IF(ISNA(MATCH(D54,'Master Produk'!$A$2:$A$101,0)),"SKU tidak ada di master",IF(AND(C54="Stok masuk",F54&lt;0),"Stok masuk harus +",IF(AND(C54="Stok keluar",F54&gt;0),"Stok keluar harus -",IF(H54&lt;0,"Stok negatif","OK")))))</f>
        <v/>
      </c>
    </row>
    <row r="55" spans="1:11" x14ac:dyDescent="0.3">
      <c r="A55" s="9" t="str">
        <f t="shared" si="0"/>
        <v/>
      </c>
      <c r="B55" s="10"/>
      <c r="C55" s="5"/>
      <c r="D55" s="5"/>
      <c r="E55" s="11" t="str">
        <f>IF(D55="","",IFERROR(INDEX('Master Produk'!$B$2:$B$101,MATCH(D55,'Master Produk'!$A$2:$A$101,0)),"SKU tidak ada di master"))</f>
        <v/>
      </c>
      <c r="F55" s="6"/>
      <c r="G55" s="12" t="str">
        <f>IF(D55="","",IFERROR(INDEX('Master Produk'!$C$2:$C$101,MATCH(D55,'Master Produk'!$A$2:$A$101,0)),0)+SUMIFS(F$1:F54,D$1:D54,D55))</f>
        <v/>
      </c>
      <c r="H55" s="12" t="str">
        <f t="shared" si="1"/>
        <v/>
      </c>
      <c r="I55" s="5"/>
      <c r="J55" s="5"/>
      <c r="K55" s="11" t="str">
        <f>IF(D55="","",IF(ISNA(MATCH(D55,'Master Produk'!$A$2:$A$101,0)),"SKU tidak ada di master",IF(AND(C55="Stok masuk",F55&lt;0),"Stok masuk harus +",IF(AND(C55="Stok keluar",F55&gt;0),"Stok keluar harus -",IF(H55&lt;0,"Stok negatif","OK")))))</f>
        <v/>
      </c>
    </row>
    <row r="56" spans="1:11" x14ac:dyDescent="0.3">
      <c r="A56" s="9" t="str">
        <f t="shared" si="0"/>
        <v/>
      </c>
      <c r="B56" s="10"/>
      <c r="C56" s="5"/>
      <c r="D56" s="5"/>
      <c r="E56" s="11" t="str">
        <f>IF(D56="","",IFERROR(INDEX('Master Produk'!$B$2:$B$101,MATCH(D56,'Master Produk'!$A$2:$A$101,0)),"SKU tidak ada di master"))</f>
        <v/>
      </c>
      <c r="F56" s="6"/>
      <c r="G56" s="12" t="str">
        <f>IF(D56="","",IFERROR(INDEX('Master Produk'!$C$2:$C$101,MATCH(D56,'Master Produk'!$A$2:$A$101,0)),0)+SUMIFS(F$1:F55,D$1:D55,D56))</f>
        <v/>
      </c>
      <c r="H56" s="12" t="str">
        <f t="shared" si="1"/>
        <v/>
      </c>
      <c r="I56" s="5"/>
      <c r="J56" s="5"/>
      <c r="K56" s="11" t="str">
        <f>IF(D56="","",IF(ISNA(MATCH(D56,'Master Produk'!$A$2:$A$101,0)),"SKU tidak ada di master",IF(AND(C56="Stok masuk",F56&lt;0),"Stok masuk harus +",IF(AND(C56="Stok keluar",F56&gt;0),"Stok keluar harus -",IF(H56&lt;0,"Stok negatif","OK")))))</f>
        <v/>
      </c>
    </row>
    <row r="57" spans="1:11" x14ac:dyDescent="0.3">
      <c r="A57" s="9" t="str">
        <f t="shared" si="0"/>
        <v/>
      </c>
      <c r="B57" s="10"/>
      <c r="C57" s="5"/>
      <c r="D57" s="5"/>
      <c r="E57" s="11" t="str">
        <f>IF(D57="","",IFERROR(INDEX('Master Produk'!$B$2:$B$101,MATCH(D57,'Master Produk'!$A$2:$A$101,0)),"SKU tidak ada di master"))</f>
        <v/>
      </c>
      <c r="F57" s="6"/>
      <c r="G57" s="12" t="str">
        <f>IF(D57="","",IFERROR(INDEX('Master Produk'!$C$2:$C$101,MATCH(D57,'Master Produk'!$A$2:$A$101,0)),0)+SUMIFS(F$1:F56,D$1:D56,D57))</f>
        <v/>
      </c>
      <c r="H57" s="12" t="str">
        <f t="shared" si="1"/>
        <v/>
      </c>
      <c r="I57" s="5"/>
      <c r="J57" s="5"/>
      <c r="K57" s="11" t="str">
        <f>IF(D57="","",IF(ISNA(MATCH(D57,'Master Produk'!$A$2:$A$101,0)),"SKU tidak ada di master",IF(AND(C57="Stok masuk",F57&lt;0),"Stok masuk harus +",IF(AND(C57="Stok keluar",F57&gt;0),"Stok keluar harus -",IF(H57&lt;0,"Stok negatif","OK")))))</f>
        <v/>
      </c>
    </row>
    <row r="58" spans="1:11" x14ac:dyDescent="0.3">
      <c r="A58" s="9" t="str">
        <f t="shared" si="0"/>
        <v/>
      </c>
      <c r="B58" s="10"/>
      <c r="C58" s="5"/>
      <c r="D58" s="5"/>
      <c r="E58" s="11" t="str">
        <f>IF(D58="","",IFERROR(INDEX('Master Produk'!$B$2:$B$101,MATCH(D58,'Master Produk'!$A$2:$A$101,0)),"SKU tidak ada di master"))</f>
        <v/>
      </c>
      <c r="F58" s="6"/>
      <c r="G58" s="12" t="str">
        <f>IF(D58="","",IFERROR(INDEX('Master Produk'!$C$2:$C$101,MATCH(D58,'Master Produk'!$A$2:$A$101,0)),0)+SUMIFS(F$1:F57,D$1:D57,D58))</f>
        <v/>
      </c>
      <c r="H58" s="12" t="str">
        <f t="shared" si="1"/>
        <v/>
      </c>
      <c r="I58" s="5"/>
      <c r="J58" s="5"/>
      <c r="K58" s="11" t="str">
        <f>IF(D58="","",IF(ISNA(MATCH(D58,'Master Produk'!$A$2:$A$101,0)),"SKU tidak ada di master",IF(AND(C58="Stok masuk",F58&lt;0),"Stok masuk harus +",IF(AND(C58="Stok keluar",F58&gt;0),"Stok keluar harus -",IF(H58&lt;0,"Stok negatif","OK")))))</f>
        <v/>
      </c>
    </row>
    <row r="59" spans="1:11" x14ac:dyDescent="0.3">
      <c r="A59" s="9" t="str">
        <f t="shared" si="0"/>
        <v/>
      </c>
      <c r="B59" s="10"/>
      <c r="C59" s="5"/>
      <c r="D59" s="5"/>
      <c r="E59" s="11" t="str">
        <f>IF(D59="","",IFERROR(INDEX('Master Produk'!$B$2:$B$101,MATCH(D59,'Master Produk'!$A$2:$A$101,0)),"SKU tidak ada di master"))</f>
        <v/>
      </c>
      <c r="F59" s="6"/>
      <c r="G59" s="12" t="str">
        <f>IF(D59="","",IFERROR(INDEX('Master Produk'!$C$2:$C$101,MATCH(D59,'Master Produk'!$A$2:$A$101,0)),0)+SUMIFS(F$1:F58,D$1:D58,D59))</f>
        <v/>
      </c>
      <c r="H59" s="12" t="str">
        <f t="shared" si="1"/>
        <v/>
      </c>
      <c r="I59" s="5"/>
      <c r="J59" s="5"/>
      <c r="K59" s="11" t="str">
        <f>IF(D59="","",IF(ISNA(MATCH(D59,'Master Produk'!$A$2:$A$101,0)),"SKU tidak ada di master",IF(AND(C59="Stok masuk",F59&lt;0),"Stok masuk harus +",IF(AND(C59="Stok keluar",F59&gt;0),"Stok keluar harus -",IF(H59&lt;0,"Stok negatif","OK")))))</f>
        <v/>
      </c>
    </row>
    <row r="60" spans="1:11" x14ac:dyDescent="0.3">
      <c r="A60" s="9" t="str">
        <f t="shared" si="0"/>
        <v/>
      </c>
      <c r="B60" s="10"/>
      <c r="C60" s="5"/>
      <c r="D60" s="5"/>
      <c r="E60" s="11" t="str">
        <f>IF(D60="","",IFERROR(INDEX('Master Produk'!$B$2:$B$101,MATCH(D60,'Master Produk'!$A$2:$A$101,0)),"SKU tidak ada di master"))</f>
        <v/>
      </c>
      <c r="F60" s="6"/>
      <c r="G60" s="12" t="str">
        <f>IF(D60="","",IFERROR(INDEX('Master Produk'!$C$2:$C$101,MATCH(D60,'Master Produk'!$A$2:$A$101,0)),0)+SUMIFS(F$1:F59,D$1:D59,D60))</f>
        <v/>
      </c>
      <c r="H60" s="12" t="str">
        <f t="shared" si="1"/>
        <v/>
      </c>
      <c r="I60" s="5"/>
      <c r="J60" s="5"/>
      <c r="K60" s="11" t="str">
        <f>IF(D60="","",IF(ISNA(MATCH(D60,'Master Produk'!$A$2:$A$101,0)),"SKU tidak ada di master",IF(AND(C60="Stok masuk",F60&lt;0),"Stok masuk harus +",IF(AND(C60="Stok keluar",F60&gt;0),"Stok keluar harus -",IF(H60&lt;0,"Stok negatif","OK")))))</f>
        <v/>
      </c>
    </row>
    <row r="61" spans="1:11" x14ac:dyDescent="0.3">
      <c r="A61" s="9" t="str">
        <f t="shared" si="0"/>
        <v/>
      </c>
      <c r="B61" s="10"/>
      <c r="C61" s="5"/>
      <c r="D61" s="5"/>
      <c r="E61" s="11" t="str">
        <f>IF(D61="","",IFERROR(INDEX('Master Produk'!$B$2:$B$101,MATCH(D61,'Master Produk'!$A$2:$A$101,0)),"SKU tidak ada di master"))</f>
        <v/>
      </c>
      <c r="F61" s="6"/>
      <c r="G61" s="12" t="str">
        <f>IF(D61="","",IFERROR(INDEX('Master Produk'!$C$2:$C$101,MATCH(D61,'Master Produk'!$A$2:$A$101,0)),0)+SUMIFS(F$1:F60,D$1:D60,D61))</f>
        <v/>
      </c>
      <c r="H61" s="12" t="str">
        <f t="shared" si="1"/>
        <v/>
      </c>
      <c r="I61" s="5"/>
      <c r="J61" s="5"/>
      <c r="K61" s="11" t="str">
        <f>IF(D61="","",IF(ISNA(MATCH(D61,'Master Produk'!$A$2:$A$101,0)),"SKU tidak ada di master",IF(AND(C61="Stok masuk",F61&lt;0),"Stok masuk harus +",IF(AND(C61="Stok keluar",F61&gt;0),"Stok keluar harus -",IF(H61&lt;0,"Stok negatif","OK")))))</f>
        <v/>
      </c>
    </row>
    <row r="62" spans="1:11" x14ac:dyDescent="0.3">
      <c r="A62" s="9" t="str">
        <f t="shared" si="0"/>
        <v/>
      </c>
      <c r="B62" s="10"/>
      <c r="C62" s="5"/>
      <c r="D62" s="5"/>
      <c r="E62" s="11" t="str">
        <f>IF(D62="","",IFERROR(INDEX('Master Produk'!$B$2:$B$101,MATCH(D62,'Master Produk'!$A$2:$A$101,0)),"SKU tidak ada di master"))</f>
        <v/>
      </c>
      <c r="F62" s="6"/>
      <c r="G62" s="12" t="str">
        <f>IF(D62="","",IFERROR(INDEX('Master Produk'!$C$2:$C$101,MATCH(D62,'Master Produk'!$A$2:$A$101,0)),0)+SUMIFS(F$1:F61,D$1:D61,D62))</f>
        <v/>
      </c>
      <c r="H62" s="12" t="str">
        <f t="shared" si="1"/>
        <v/>
      </c>
      <c r="I62" s="5"/>
      <c r="J62" s="5"/>
      <c r="K62" s="11" t="str">
        <f>IF(D62="","",IF(ISNA(MATCH(D62,'Master Produk'!$A$2:$A$101,0)),"SKU tidak ada di master",IF(AND(C62="Stok masuk",F62&lt;0),"Stok masuk harus +",IF(AND(C62="Stok keluar",F62&gt;0),"Stok keluar harus -",IF(H62&lt;0,"Stok negatif","OK")))))</f>
        <v/>
      </c>
    </row>
    <row r="63" spans="1:11" x14ac:dyDescent="0.3">
      <c r="A63" s="9" t="str">
        <f t="shared" si="0"/>
        <v/>
      </c>
      <c r="B63" s="10"/>
      <c r="C63" s="5"/>
      <c r="D63" s="5"/>
      <c r="E63" s="11" t="str">
        <f>IF(D63="","",IFERROR(INDEX('Master Produk'!$B$2:$B$101,MATCH(D63,'Master Produk'!$A$2:$A$101,0)),"SKU tidak ada di master"))</f>
        <v/>
      </c>
      <c r="F63" s="6"/>
      <c r="G63" s="12" t="str">
        <f>IF(D63="","",IFERROR(INDEX('Master Produk'!$C$2:$C$101,MATCH(D63,'Master Produk'!$A$2:$A$101,0)),0)+SUMIFS(F$1:F62,D$1:D62,D63))</f>
        <v/>
      </c>
      <c r="H63" s="12" t="str">
        <f t="shared" si="1"/>
        <v/>
      </c>
      <c r="I63" s="5"/>
      <c r="J63" s="5"/>
      <c r="K63" s="11" t="str">
        <f>IF(D63="","",IF(ISNA(MATCH(D63,'Master Produk'!$A$2:$A$101,0)),"SKU tidak ada di master",IF(AND(C63="Stok masuk",F63&lt;0),"Stok masuk harus +",IF(AND(C63="Stok keluar",F63&gt;0),"Stok keluar harus -",IF(H63&lt;0,"Stok negatif","OK")))))</f>
        <v/>
      </c>
    </row>
    <row r="64" spans="1:11" x14ac:dyDescent="0.3">
      <c r="A64" s="9" t="str">
        <f t="shared" si="0"/>
        <v/>
      </c>
      <c r="B64" s="10"/>
      <c r="C64" s="5"/>
      <c r="D64" s="5"/>
      <c r="E64" s="11" t="str">
        <f>IF(D64="","",IFERROR(INDEX('Master Produk'!$B$2:$B$101,MATCH(D64,'Master Produk'!$A$2:$A$101,0)),"SKU tidak ada di master"))</f>
        <v/>
      </c>
      <c r="F64" s="6"/>
      <c r="G64" s="12" t="str">
        <f>IF(D64="","",IFERROR(INDEX('Master Produk'!$C$2:$C$101,MATCH(D64,'Master Produk'!$A$2:$A$101,0)),0)+SUMIFS(F$1:F63,D$1:D63,D64))</f>
        <v/>
      </c>
      <c r="H64" s="12" t="str">
        <f t="shared" si="1"/>
        <v/>
      </c>
      <c r="I64" s="5"/>
      <c r="J64" s="5"/>
      <c r="K64" s="11" t="str">
        <f>IF(D64="","",IF(ISNA(MATCH(D64,'Master Produk'!$A$2:$A$101,0)),"SKU tidak ada di master",IF(AND(C64="Stok masuk",F64&lt;0),"Stok masuk harus +",IF(AND(C64="Stok keluar",F64&gt;0),"Stok keluar harus -",IF(H64&lt;0,"Stok negatif","OK")))))</f>
        <v/>
      </c>
    </row>
    <row r="65" spans="1:11" x14ac:dyDescent="0.3">
      <c r="A65" s="9" t="str">
        <f t="shared" si="0"/>
        <v/>
      </c>
      <c r="B65" s="10"/>
      <c r="C65" s="5"/>
      <c r="D65" s="5"/>
      <c r="E65" s="11" t="str">
        <f>IF(D65="","",IFERROR(INDEX('Master Produk'!$B$2:$B$101,MATCH(D65,'Master Produk'!$A$2:$A$101,0)),"SKU tidak ada di master"))</f>
        <v/>
      </c>
      <c r="F65" s="6"/>
      <c r="G65" s="12" t="str">
        <f>IF(D65="","",IFERROR(INDEX('Master Produk'!$C$2:$C$101,MATCH(D65,'Master Produk'!$A$2:$A$101,0)),0)+SUMIFS(F$1:F64,D$1:D64,D65))</f>
        <v/>
      </c>
      <c r="H65" s="12" t="str">
        <f t="shared" si="1"/>
        <v/>
      </c>
      <c r="I65" s="5"/>
      <c r="J65" s="5"/>
      <c r="K65" s="11" t="str">
        <f>IF(D65="","",IF(ISNA(MATCH(D65,'Master Produk'!$A$2:$A$101,0)),"SKU tidak ada di master",IF(AND(C65="Stok masuk",F65&lt;0),"Stok masuk harus +",IF(AND(C65="Stok keluar",F65&gt;0),"Stok keluar harus -",IF(H65&lt;0,"Stok negatif","OK")))))</f>
        <v/>
      </c>
    </row>
    <row r="66" spans="1:11" x14ac:dyDescent="0.3">
      <c r="A66" s="9" t="str">
        <f t="shared" ref="A66:A129" si="2">IF(D66="","",ROW()-1)</f>
        <v/>
      </c>
      <c r="B66" s="10"/>
      <c r="C66" s="5"/>
      <c r="D66" s="5"/>
      <c r="E66" s="11" t="str">
        <f>IF(D66="","",IFERROR(INDEX('Master Produk'!$B$2:$B$101,MATCH(D66,'Master Produk'!$A$2:$A$101,0)),"SKU tidak ada di master"))</f>
        <v/>
      </c>
      <c r="F66" s="6"/>
      <c r="G66" s="12" t="str">
        <f>IF(D66="","",IFERROR(INDEX('Master Produk'!$C$2:$C$101,MATCH(D66,'Master Produk'!$A$2:$A$101,0)),0)+SUMIFS(F$1:F65,D$1:D65,D66))</f>
        <v/>
      </c>
      <c r="H66" s="12" t="str">
        <f t="shared" ref="H66:H129" si="3">IF(D66="","",G66+F66)</f>
        <v/>
      </c>
      <c r="I66" s="5"/>
      <c r="J66" s="5"/>
      <c r="K66" s="11" t="str">
        <f>IF(D66="","",IF(ISNA(MATCH(D66,'Master Produk'!$A$2:$A$101,0)),"SKU tidak ada di master",IF(AND(C66="Stok masuk",F66&lt;0),"Stok masuk harus +",IF(AND(C66="Stok keluar",F66&gt;0),"Stok keluar harus -",IF(H66&lt;0,"Stok negatif","OK")))))</f>
        <v/>
      </c>
    </row>
    <row r="67" spans="1:11" x14ac:dyDescent="0.3">
      <c r="A67" s="9" t="str">
        <f t="shared" si="2"/>
        <v/>
      </c>
      <c r="B67" s="10"/>
      <c r="C67" s="5"/>
      <c r="D67" s="5"/>
      <c r="E67" s="11" t="str">
        <f>IF(D67="","",IFERROR(INDEX('Master Produk'!$B$2:$B$101,MATCH(D67,'Master Produk'!$A$2:$A$101,0)),"SKU tidak ada di master"))</f>
        <v/>
      </c>
      <c r="F67" s="6"/>
      <c r="G67" s="12" t="str">
        <f>IF(D67="","",IFERROR(INDEX('Master Produk'!$C$2:$C$101,MATCH(D67,'Master Produk'!$A$2:$A$101,0)),0)+SUMIFS(F$1:F66,D$1:D66,D67))</f>
        <v/>
      </c>
      <c r="H67" s="12" t="str">
        <f t="shared" si="3"/>
        <v/>
      </c>
      <c r="I67" s="5"/>
      <c r="J67" s="5"/>
      <c r="K67" s="11" t="str">
        <f>IF(D67="","",IF(ISNA(MATCH(D67,'Master Produk'!$A$2:$A$101,0)),"SKU tidak ada di master",IF(AND(C67="Stok masuk",F67&lt;0),"Stok masuk harus +",IF(AND(C67="Stok keluar",F67&gt;0),"Stok keluar harus -",IF(H67&lt;0,"Stok negatif","OK")))))</f>
        <v/>
      </c>
    </row>
    <row r="68" spans="1:11" x14ac:dyDescent="0.3">
      <c r="A68" s="9" t="str">
        <f t="shared" si="2"/>
        <v/>
      </c>
      <c r="B68" s="10"/>
      <c r="C68" s="5"/>
      <c r="D68" s="5"/>
      <c r="E68" s="11" t="str">
        <f>IF(D68="","",IFERROR(INDEX('Master Produk'!$B$2:$B$101,MATCH(D68,'Master Produk'!$A$2:$A$101,0)),"SKU tidak ada di master"))</f>
        <v/>
      </c>
      <c r="F68" s="6"/>
      <c r="G68" s="12" t="str">
        <f>IF(D68="","",IFERROR(INDEX('Master Produk'!$C$2:$C$101,MATCH(D68,'Master Produk'!$A$2:$A$101,0)),0)+SUMIFS(F$1:F67,D$1:D67,D68))</f>
        <v/>
      </c>
      <c r="H68" s="12" t="str">
        <f t="shared" si="3"/>
        <v/>
      </c>
      <c r="I68" s="5"/>
      <c r="J68" s="5"/>
      <c r="K68" s="11" t="str">
        <f>IF(D68="","",IF(ISNA(MATCH(D68,'Master Produk'!$A$2:$A$101,0)),"SKU tidak ada di master",IF(AND(C68="Stok masuk",F68&lt;0),"Stok masuk harus +",IF(AND(C68="Stok keluar",F68&gt;0),"Stok keluar harus -",IF(H68&lt;0,"Stok negatif","OK")))))</f>
        <v/>
      </c>
    </row>
    <row r="69" spans="1:11" x14ac:dyDescent="0.3">
      <c r="A69" s="9" t="str">
        <f t="shared" si="2"/>
        <v/>
      </c>
      <c r="B69" s="10"/>
      <c r="C69" s="5"/>
      <c r="D69" s="5"/>
      <c r="E69" s="11" t="str">
        <f>IF(D69="","",IFERROR(INDEX('Master Produk'!$B$2:$B$101,MATCH(D69,'Master Produk'!$A$2:$A$101,0)),"SKU tidak ada di master"))</f>
        <v/>
      </c>
      <c r="F69" s="6"/>
      <c r="G69" s="12" t="str">
        <f>IF(D69="","",IFERROR(INDEX('Master Produk'!$C$2:$C$101,MATCH(D69,'Master Produk'!$A$2:$A$101,0)),0)+SUMIFS(F$1:F68,D$1:D68,D69))</f>
        <v/>
      </c>
      <c r="H69" s="12" t="str">
        <f t="shared" si="3"/>
        <v/>
      </c>
      <c r="I69" s="5"/>
      <c r="J69" s="5"/>
      <c r="K69" s="11" t="str">
        <f>IF(D69="","",IF(ISNA(MATCH(D69,'Master Produk'!$A$2:$A$101,0)),"SKU tidak ada di master",IF(AND(C69="Stok masuk",F69&lt;0),"Stok masuk harus +",IF(AND(C69="Stok keluar",F69&gt;0),"Stok keluar harus -",IF(H69&lt;0,"Stok negatif","OK")))))</f>
        <v/>
      </c>
    </row>
    <row r="70" spans="1:11" x14ac:dyDescent="0.3">
      <c r="A70" s="9" t="str">
        <f t="shared" si="2"/>
        <v/>
      </c>
      <c r="B70" s="10"/>
      <c r="C70" s="5"/>
      <c r="D70" s="5"/>
      <c r="E70" s="11" t="str">
        <f>IF(D70="","",IFERROR(INDEX('Master Produk'!$B$2:$B$101,MATCH(D70,'Master Produk'!$A$2:$A$101,0)),"SKU tidak ada di master"))</f>
        <v/>
      </c>
      <c r="F70" s="6"/>
      <c r="G70" s="12" t="str">
        <f>IF(D70="","",IFERROR(INDEX('Master Produk'!$C$2:$C$101,MATCH(D70,'Master Produk'!$A$2:$A$101,0)),0)+SUMIFS(F$1:F69,D$1:D69,D70))</f>
        <v/>
      </c>
      <c r="H70" s="12" t="str">
        <f t="shared" si="3"/>
        <v/>
      </c>
      <c r="I70" s="5"/>
      <c r="J70" s="5"/>
      <c r="K70" s="11" t="str">
        <f>IF(D70="","",IF(ISNA(MATCH(D70,'Master Produk'!$A$2:$A$101,0)),"SKU tidak ada di master",IF(AND(C70="Stok masuk",F70&lt;0),"Stok masuk harus +",IF(AND(C70="Stok keluar",F70&gt;0),"Stok keluar harus -",IF(H70&lt;0,"Stok negatif","OK")))))</f>
        <v/>
      </c>
    </row>
    <row r="71" spans="1:11" x14ac:dyDescent="0.3">
      <c r="A71" s="9" t="str">
        <f t="shared" si="2"/>
        <v/>
      </c>
      <c r="B71" s="10"/>
      <c r="C71" s="5"/>
      <c r="D71" s="5"/>
      <c r="E71" s="11" t="str">
        <f>IF(D71="","",IFERROR(INDEX('Master Produk'!$B$2:$B$101,MATCH(D71,'Master Produk'!$A$2:$A$101,0)),"SKU tidak ada di master"))</f>
        <v/>
      </c>
      <c r="F71" s="6"/>
      <c r="G71" s="12" t="str">
        <f>IF(D71="","",IFERROR(INDEX('Master Produk'!$C$2:$C$101,MATCH(D71,'Master Produk'!$A$2:$A$101,0)),0)+SUMIFS(F$1:F70,D$1:D70,D71))</f>
        <v/>
      </c>
      <c r="H71" s="12" t="str">
        <f t="shared" si="3"/>
        <v/>
      </c>
      <c r="I71" s="5"/>
      <c r="J71" s="5"/>
      <c r="K71" s="11" t="str">
        <f>IF(D71="","",IF(ISNA(MATCH(D71,'Master Produk'!$A$2:$A$101,0)),"SKU tidak ada di master",IF(AND(C71="Stok masuk",F71&lt;0),"Stok masuk harus +",IF(AND(C71="Stok keluar",F71&gt;0),"Stok keluar harus -",IF(H71&lt;0,"Stok negatif","OK")))))</f>
        <v/>
      </c>
    </row>
    <row r="72" spans="1:11" x14ac:dyDescent="0.3">
      <c r="A72" s="9" t="str">
        <f t="shared" si="2"/>
        <v/>
      </c>
      <c r="B72" s="10"/>
      <c r="C72" s="5"/>
      <c r="D72" s="5"/>
      <c r="E72" s="11" t="str">
        <f>IF(D72="","",IFERROR(INDEX('Master Produk'!$B$2:$B$101,MATCH(D72,'Master Produk'!$A$2:$A$101,0)),"SKU tidak ada di master"))</f>
        <v/>
      </c>
      <c r="F72" s="6"/>
      <c r="G72" s="12" t="str">
        <f>IF(D72="","",IFERROR(INDEX('Master Produk'!$C$2:$C$101,MATCH(D72,'Master Produk'!$A$2:$A$101,0)),0)+SUMIFS(F$1:F71,D$1:D71,D72))</f>
        <v/>
      </c>
      <c r="H72" s="12" t="str">
        <f t="shared" si="3"/>
        <v/>
      </c>
      <c r="I72" s="5"/>
      <c r="J72" s="5"/>
      <c r="K72" s="11" t="str">
        <f>IF(D72="","",IF(ISNA(MATCH(D72,'Master Produk'!$A$2:$A$101,0)),"SKU tidak ada di master",IF(AND(C72="Stok masuk",F72&lt;0),"Stok masuk harus +",IF(AND(C72="Stok keluar",F72&gt;0),"Stok keluar harus -",IF(H72&lt;0,"Stok negatif","OK")))))</f>
        <v/>
      </c>
    </row>
    <row r="73" spans="1:11" x14ac:dyDescent="0.3">
      <c r="A73" s="9" t="str">
        <f t="shared" si="2"/>
        <v/>
      </c>
      <c r="B73" s="10"/>
      <c r="C73" s="5"/>
      <c r="D73" s="5"/>
      <c r="E73" s="11" t="str">
        <f>IF(D73="","",IFERROR(INDEX('Master Produk'!$B$2:$B$101,MATCH(D73,'Master Produk'!$A$2:$A$101,0)),"SKU tidak ada di master"))</f>
        <v/>
      </c>
      <c r="F73" s="6"/>
      <c r="G73" s="12" t="str">
        <f>IF(D73="","",IFERROR(INDEX('Master Produk'!$C$2:$C$101,MATCH(D73,'Master Produk'!$A$2:$A$101,0)),0)+SUMIFS(F$1:F72,D$1:D72,D73))</f>
        <v/>
      </c>
      <c r="H73" s="12" t="str">
        <f t="shared" si="3"/>
        <v/>
      </c>
      <c r="I73" s="5"/>
      <c r="J73" s="5"/>
      <c r="K73" s="11" t="str">
        <f>IF(D73="","",IF(ISNA(MATCH(D73,'Master Produk'!$A$2:$A$101,0)),"SKU tidak ada di master",IF(AND(C73="Stok masuk",F73&lt;0),"Stok masuk harus +",IF(AND(C73="Stok keluar",F73&gt;0),"Stok keluar harus -",IF(H73&lt;0,"Stok negatif","OK")))))</f>
        <v/>
      </c>
    </row>
    <row r="74" spans="1:11" x14ac:dyDescent="0.3">
      <c r="A74" s="9" t="str">
        <f t="shared" si="2"/>
        <v/>
      </c>
      <c r="B74" s="10"/>
      <c r="C74" s="5"/>
      <c r="D74" s="5"/>
      <c r="E74" s="11" t="str">
        <f>IF(D74="","",IFERROR(INDEX('Master Produk'!$B$2:$B$101,MATCH(D74,'Master Produk'!$A$2:$A$101,0)),"SKU tidak ada di master"))</f>
        <v/>
      </c>
      <c r="F74" s="6"/>
      <c r="G74" s="12" t="str">
        <f>IF(D74="","",IFERROR(INDEX('Master Produk'!$C$2:$C$101,MATCH(D74,'Master Produk'!$A$2:$A$101,0)),0)+SUMIFS(F$1:F73,D$1:D73,D74))</f>
        <v/>
      </c>
      <c r="H74" s="12" t="str">
        <f t="shared" si="3"/>
        <v/>
      </c>
      <c r="I74" s="5"/>
      <c r="J74" s="5"/>
      <c r="K74" s="11" t="str">
        <f>IF(D74="","",IF(ISNA(MATCH(D74,'Master Produk'!$A$2:$A$101,0)),"SKU tidak ada di master",IF(AND(C74="Stok masuk",F74&lt;0),"Stok masuk harus +",IF(AND(C74="Stok keluar",F74&gt;0),"Stok keluar harus -",IF(H74&lt;0,"Stok negatif","OK")))))</f>
        <v/>
      </c>
    </row>
    <row r="75" spans="1:11" x14ac:dyDescent="0.3">
      <c r="A75" s="9" t="str">
        <f t="shared" si="2"/>
        <v/>
      </c>
      <c r="B75" s="10"/>
      <c r="C75" s="5"/>
      <c r="D75" s="5"/>
      <c r="E75" s="11" t="str">
        <f>IF(D75="","",IFERROR(INDEX('Master Produk'!$B$2:$B$101,MATCH(D75,'Master Produk'!$A$2:$A$101,0)),"SKU tidak ada di master"))</f>
        <v/>
      </c>
      <c r="F75" s="6"/>
      <c r="G75" s="12" t="str">
        <f>IF(D75="","",IFERROR(INDEX('Master Produk'!$C$2:$C$101,MATCH(D75,'Master Produk'!$A$2:$A$101,0)),0)+SUMIFS(F$1:F74,D$1:D74,D75))</f>
        <v/>
      </c>
      <c r="H75" s="12" t="str">
        <f t="shared" si="3"/>
        <v/>
      </c>
      <c r="I75" s="5"/>
      <c r="J75" s="5"/>
      <c r="K75" s="11" t="str">
        <f>IF(D75="","",IF(ISNA(MATCH(D75,'Master Produk'!$A$2:$A$101,0)),"SKU tidak ada di master",IF(AND(C75="Stok masuk",F75&lt;0),"Stok masuk harus +",IF(AND(C75="Stok keluar",F75&gt;0),"Stok keluar harus -",IF(H75&lt;0,"Stok negatif","OK")))))</f>
        <v/>
      </c>
    </row>
    <row r="76" spans="1:11" x14ac:dyDescent="0.3">
      <c r="A76" s="9" t="str">
        <f t="shared" si="2"/>
        <v/>
      </c>
      <c r="B76" s="10"/>
      <c r="C76" s="5"/>
      <c r="D76" s="5"/>
      <c r="E76" s="11" t="str">
        <f>IF(D76="","",IFERROR(INDEX('Master Produk'!$B$2:$B$101,MATCH(D76,'Master Produk'!$A$2:$A$101,0)),"SKU tidak ada di master"))</f>
        <v/>
      </c>
      <c r="F76" s="6"/>
      <c r="G76" s="12" t="str">
        <f>IF(D76="","",IFERROR(INDEX('Master Produk'!$C$2:$C$101,MATCH(D76,'Master Produk'!$A$2:$A$101,0)),0)+SUMIFS(F$1:F75,D$1:D75,D76))</f>
        <v/>
      </c>
      <c r="H76" s="12" t="str">
        <f t="shared" si="3"/>
        <v/>
      </c>
      <c r="I76" s="5"/>
      <c r="J76" s="5"/>
      <c r="K76" s="11" t="str">
        <f>IF(D76="","",IF(ISNA(MATCH(D76,'Master Produk'!$A$2:$A$101,0)),"SKU tidak ada di master",IF(AND(C76="Stok masuk",F76&lt;0),"Stok masuk harus +",IF(AND(C76="Stok keluar",F76&gt;0),"Stok keluar harus -",IF(H76&lt;0,"Stok negatif","OK")))))</f>
        <v/>
      </c>
    </row>
    <row r="77" spans="1:11" x14ac:dyDescent="0.3">
      <c r="A77" s="9" t="str">
        <f t="shared" si="2"/>
        <v/>
      </c>
      <c r="B77" s="10"/>
      <c r="C77" s="5"/>
      <c r="D77" s="5"/>
      <c r="E77" s="11" t="str">
        <f>IF(D77="","",IFERROR(INDEX('Master Produk'!$B$2:$B$101,MATCH(D77,'Master Produk'!$A$2:$A$101,0)),"SKU tidak ada di master"))</f>
        <v/>
      </c>
      <c r="F77" s="6"/>
      <c r="G77" s="12" t="str">
        <f>IF(D77="","",IFERROR(INDEX('Master Produk'!$C$2:$C$101,MATCH(D77,'Master Produk'!$A$2:$A$101,0)),0)+SUMIFS(F$1:F76,D$1:D76,D77))</f>
        <v/>
      </c>
      <c r="H77" s="12" t="str">
        <f t="shared" si="3"/>
        <v/>
      </c>
      <c r="I77" s="5"/>
      <c r="J77" s="5"/>
      <c r="K77" s="11" t="str">
        <f>IF(D77="","",IF(ISNA(MATCH(D77,'Master Produk'!$A$2:$A$101,0)),"SKU tidak ada di master",IF(AND(C77="Stok masuk",F77&lt;0),"Stok masuk harus +",IF(AND(C77="Stok keluar",F77&gt;0),"Stok keluar harus -",IF(H77&lt;0,"Stok negatif","OK")))))</f>
        <v/>
      </c>
    </row>
    <row r="78" spans="1:11" x14ac:dyDescent="0.3">
      <c r="A78" s="9" t="str">
        <f t="shared" si="2"/>
        <v/>
      </c>
      <c r="B78" s="10"/>
      <c r="C78" s="5"/>
      <c r="D78" s="5"/>
      <c r="E78" s="11" t="str">
        <f>IF(D78="","",IFERROR(INDEX('Master Produk'!$B$2:$B$101,MATCH(D78,'Master Produk'!$A$2:$A$101,0)),"SKU tidak ada di master"))</f>
        <v/>
      </c>
      <c r="F78" s="6"/>
      <c r="G78" s="12" t="str">
        <f>IF(D78="","",IFERROR(INDEX('Master Produk'!$C$2:$C$101,MATCH(D78,'Master Produk'!$A$2:$A$101,0)),0)+SUMIFS(F$1:F77,D$1:D77,D78))</f>
        <v/>
      </c>
      <c r="H78" s="12" t="str">
        <f t="shared" si="3"/>
        <v/>
      </c>
      <c r="I78" s="5"/>
      <c r="J78" s="5"/>
      <c r="K78" s="11" t="str">
        <f>IF(D78="","",IF(ISNA(MATCH(D78,'Master Produk'!$A$2:$A$101,0)),"SKU tidak ada di master",IF(AND(C78="Stok masuk",F78&lt;0),"Stok masuk harus +",IF(AND(C78="Stok keluar",F78&gt;0),"Stok keluar harus -",IF(H78&lt;0,"Stok negatif","OK")))))</f>
        <v/>
      </c>
    </row>
    <row r="79" spans="1:11" x14ac:dyDescent="0.3">
      <c r="A79" s="9" t="str">
        <f t="shared" si="2"/>
        <v/>
      </c>
      <c r="B79" s="10"/>
      <c r="C79" s="5"/>
      <c r="D79" s="5"/>
      <c r="E79" s="11" t="str">
        <f>IF(D79="","",IFERROR(INDEX('Master Produk'!$B$2:$B$101,MATCH(D79,'Master Produk'!$A$2:$A$101,0)),"SKU tidak ada di master"))</f>
        <v/>
      </c>
      <c r="F79" s="6"/>
      <c r="G79" s="12" t="str">
        <f>IF(D79="","",IFERROR(INDEX('Master Produk'!$C$2:$C$101,MATCH(D79,'Master Produk'!$A$2:$A$101,0)),0)+SUMIFS(F$1:F78,D$1:D78,D79))</f>
        <v/>
      </c>
      <c r="H79" s="12" t="str">
        <f t="shared" si="3"/>
        <v/>
      </c>
      <c r="I79" s="5"/>
      <c r="J79" s="5"/>
      <c r="K79" s="11" t="str">
        <f>IF(D79="","",IF(ISNA(MATCH(D79,'Master Produk'!$A$2:$A$101,0)),"SKU tidak ada di master",IF(AND(C79="Stok masuk",F79&lt;0),"Stok masuk harus +",IF(AND(C79="Stok keluar",F79&gt;0),"Stok keluar harus -",IF(H79&lt;0,"Stok negatif","OK")))))</f>
        <v/>
      </c>
    </row>
    <row r="80" spans="1:11" x14ac:dyDescent="0.3">
      <c r="A80" s="9" t="str">
        <f t="shared" si="2"/>
        <v/>
      </c>
      <c r="B80" s="10"/>
      <c r="C80" s="5"/>
      <c r="D80" s="5"/>
      <c r="E80" s="11" t="str">
        <f>IF(D80="","",IFERROR(INDEX('Master Produk'!$B$2:$B$101,MATCH(D80,'Master Produk'!$A$2:$A$101,0)),"SKU tidak ada di master"))</f>
        <v/>
      </c>
      <c r="F80" s="6"/>
      <c r="G80" s="12" t="str">
        <f>IF(D80="","",IFERROR(INDEX('Master Produk'!$C$2:$C$101,MATCH(D80,'Master Produk'!$A$2:$A$101,0)),0)+SUMIFS(F$1:F79,D$1:D79,D80))</f>
        <v/>
      </c>
      <c r="H80" s="12" t="str">
        <f t="shared" si="3"/>
        <v/>
      </c>
      <c r="I80" s="5"/>
      <c r="J80" s="5"/>
      <c r="K80" s="11" t="str">
        <f>IF(D80="","",IF(ISNA(MATCH(D80,'Master Produk'!$A$2:$A$101,0)),"SKU tidak ada di master",IF(AND(C80="Stok masuk",F80&lt;0),"Stok masuk harus +",IF(AND(C80="Stok keluar",F80&gt;0),"Stok keluar harus -",IF(H80&lt;0,"Stok negatif","OK")))))</f>
        <v/>
      </c>
    </row>
    <row r="81" spans="1:11" x14ac:dyDescent="0.3">
      <c r="A81" s="9" t="str">
        <f t="shared" si="2"/>
        <v/>
      </c>
      <c r="B81" s="10"/>
      <c r="C81" s="5"/>
      <c r="D81" s="5"/>
      <c r="E81" s="11" t="str">
        <f>IF(D81="","",IFERROR(INDEX('Master Produk'!$B$2:$B$101,MATCH(D81,'Master Produk'!$A$2:$A$101,0)),"SKU tidak ada di master"))</f>
        <v/>
      </c>
      <c r="F81" s="6"/>
      <c r="G81" s="12" t="str">
        <f>IF(D81="","",IFERROR(INDEX('Master Produk'!$C$2:$C$101,MATCH(D81,'Master Produk'!$A$2:$A$101,0)),0)+SUMIFS(F$1:F80,D$1:D80,D81))</f>
        <v/>
      </c>
      <c r="H81" s="12" t="str">
        <f t="shared" si="3"/>
        <v/>
      </c>
      <c r="I81" s="5"/>
      <c r="J81" s="5"/>
      <c r="K81" s="11" t="str">
        <f>IF(D81="","",IF(ISNA(MATCH(D81,'Master Produk'!$A$2:$A$101,0)),"SKU tidak ada di master",IF(AND(C81="Stok masuk",F81&lt;0),"Stok masuk harus +",IF(AND(C81="Stok keluar",F81&gt;0),"Stok keluar harus -",IF(H81&lt;0,"Stok negatif","OK")))))</f>
        <v/>
      </c>
    </row>
    <row r="82" spans="1:11" x14ac:dyDescent="0.3">
      <c r="A82" s="9" t="str">
        <f t="shared" si="2"/>
        <v/>
      </c>
      <c r="B82" s="10"/>
      <c r="C82" s="5"/>
      <c r="D82" s="5"/>
      <c r="E82" s="11" t="str">
        <f>IF(D82="","",IFERROR(INDEX('Master Produk'!$B$2:$B$101,MATCH(D82,'Master Produk'!$A$2:$A$101,0)),"SKU tidak ada di master"))</f>
        <v/>
      </c>
      <c r="F82" s="6"/>
      <c r="G82" s="12" t="str">
        <f>IF(D82="","",IFERROR(INDEX('Master Produk'!$C$2:$C$101,MATCH(D82,'Master Produk'!$A$2:$A$101,0)),0)+SUMIFS(F$1:F81,D$1:D81,D82))</f>
        <v/>
      </c>
      <c r="H82" s="12" t="str">
        <f t="shared" si="3"/>
        <v/>
      </c>
      <c r="I82" s="5"/>
      <c r="J82" s="5"/>
      <c r="K82" s="11" t="str">
        <f>IF(D82="","",IF(ISNA(MATCH(D82,'Master Produk'!$A$2:$A$101,0)),"SKU tidak ada di master",IF(AND(C82="Stok masuk",F82&lt;0),"Stok masuk harus +",IF(AND(C82="Stok keluar",F82&gt;0),"Stok keluar harus -",IF(H82&lt;0,"Stok negatif","OK")))))</f>
        <v/>
      </c>
    </row>
    <row r="83" spans="1:11" x14ac:dyDescent="0.3">
      <c r="A83" s="9" t="str">
        <f t="shared" si="2"/>
        <v/>
      </c>
      <c r="B83" s="10"/>
      <c r="C83" s="5"/>
      <c r="D83" s="5"/>
      <c r="E83" s="11" t="str">
        <f>IF(D83="","",IFERROR(INDEX('Master Produk'!$B$2:$B$101,MATCH(D83,'Master Produk'!$A$2:$A$101,0)),"SKU tidak ada di master"))</f>
        <v/>
      </c>
      <c r="F83" s="6"/>
      <c r="G83" s="12" t="str">
        <f>IF(D83="","",IFERROR(INDEX('Master Produk'!$C$2:$C$101,MATCH(D83,'Master Produk'!$A$2:$A$101,0)),0)+SUMIFS(F$1:F82,D$1:D82,D83))</f>
        <v/>
      </c>
      <c r="H83" s="12" t="str">
        <f t="shared" si="3"/>
        <v/>
      </c>
      <c r="I83" s="5"/>
      <c r="J83" s="5"/>
      <c r="K83" s="11" t="str">
        <f>IF(D83="","",IF(ISNA(MATCH(D83,'Master Produk'!$A$2:$A$101,0)),"SKU tidak ada di master",IF(AND(C83="Stok masuk",F83&lt;0),"Stok masuk harus +",IF(AND(C83="Stok keluar",F83&gt;0),"Stok keluar harus -",IF(H83&lt;0,"Stok negatif","OK")))))</f>
        <v/>
      </c>
    </row>
    <row r="84" spans="1:11" x14ac:dyDescent="0.3">
      <c r="A84" s="9" t="str">
        <f t="shared" si="2"/>
        <v/>
      </c>
      <c r="B84" s="10"/>
      <c r="C84" s="5"/>
      <c r="D84" s="5"/>
      <c r="E84" s="11" t="str">
        <f>IF(D84="","",IFERROR(INDEX('Master Produk'!$B$2:$B$101,MATCH(D84,'Master Produk'!$A$2:$A$101,0)),"SKU tidak ada di master"))</f>
        <v/>
      </c>
      <c r="F84" s="6"/>
      <c r="G84" s="12" t="str">
        <f>IF(D84="","",IFERROR(INDEX('Master Produk'!$C$2:$C$101,MATCH(D84,'Master Produk'!$A$2:$A$101,0)),0)+SUMIFS(F$1:F83,D$1:D83,D84))</f>
        <v/>
      </c>
      <c r="H84" s="12" t="str">
        <f t="shared" si="3"/>
        <v/>
      </c>
      <c r="I84" s="5"/>
      <c r="J84" s="5"/>
      <c r="K84" s="11" t="str">
        <f>IF(D84="","",IF(ISNA(MATCH(D84,'Master Produk'!$A$2:$A$101,0)),"SKU tidak ada di master",IF(AND(C84="Stok masuk",F84&lt;0),"Stok masuk harus +",IF(AND(C84="Stok keluar",F84&gt;0),"Stok keluar harus -",IF(H84&lt;0,"Stok negatif","OK")))))</f>
        <v/>
      </c>
    </row>
    <row r="85" spans="1:11" x14ac:dyDescent="0.3">
      <c r="A85" s="9" t="str">
        <f t="shared" si="2"/>
        <v/>
      </c>
      <c r="B85" s="10"/>
      <c r="C85" s="5"/>
      <c r="D85" s="5"/>
      <c r="E85" s="11" t="str">
        <f>IF(D85="","",IFERROR(INDEX('Master Produk'!$B$2:$B$101,MATCH(D85,'Master Produk'!$A$2:$A$101,0)),"SKU tidak ada di master"))</f>
        <v/>
      </c>
      <c r="F85" s="6"/>
      <c r="G85" s="12" t="str">
        <f>IF(D85="","",IFERROR(INDEX('Master Produk'!$C$2:$C$101,MATCH(D85,'Master Produk'!$A$2:$A$101,0)),0)+SUMIFS(F$1:F84,D$1:D84,D85))</f>
        <v/>
      </c>
      <c r="H85" s="12" t="str">
        <f t="shared" si="3"/>
        <v/>
      </c>
      <c r="I85" s="5"/>
      <c r="J85" s="5"/>
      <c r="K85" s="11" t="str">
        <f>IF(D85="","",IF(ISNA(MATCH(D85,'Master Produk'!$A$2:$A$101,0)),"SKU tidak ada di master",IF(AND(C85="Stok masuk",F85&lt;0),"Stok masuk harus +",IF(AND(C85="Stok keluar",F85&gt;0),"Stok keluar harus -",IF(H85&lt;0,"Stok negatif","OK")))))</f>
        <v/>
      </c>
    </row>
    <row r="86" spans="1:11" x14ac:dyDescent="0.3">
      <c r="A86" s="9" t="str">
        <f t="shared" si="2"/>
        <v/>
      </c>
      <c r="B86" s="10"/>
      <c r="C86" s="5"/>
      <c r="D86" s="5"/>
      <c r="E86" s="11" t="str">
        <f>IF(D86="","",IFERROR(INDEX('Master Produk'!$B$2:$B$101,MATCH(D86,'Master Produk'!$A$2:$A$101,0)),"SKU tidak ada di master"))</f>
        <v/>
      </c>
      <c r="F86" s="6"/>
      <c r="G86" s="12" t="str">
        <f>IF(D86="","",IFERROR(INDEX('Master Produk'!$C$2:$C$101,MATCH(D86,'Master Produk'!$A$2:$A$101,0)),0)+SUMIFS(F$1:F85,D$1:D85,D86))</f>
        <v/>
      </c>
      <c r="H86" s="12" t="str">
        <f t="shared" si="3"/>
        <v/>
      </c>
      <c r="I86" s="5"/>
      <c r="J86" s="5"/>
      <c r="K86" s="11" t="str">
        <f>IF(D86="","",IF(ISNA(MATCH(D86,'Master Produk'!$A$2:$A$101,0)),"SKU tidak ada di master",IF(AND(C86="Stok masuk",F86&lt;0),"Stok masuk harus +",IF(AND(C86="Stok keluar",F86&gt;0),"Stok keluar harus -",IF(H86&lt;0,"Stok negatif","OK")))))</f>
        <v/>
      </c>
    </row>
    <row r="87" spans="1:11" x14ac:dyDescent="0.3">
      <c r="A87" s="9" t="str">
        <f t="shared" si="2"/>
        <v/>
      </c>
      <c r="B87" s="10"/>
      <c r="C87" s="5"/>
      <c r="D87" s="5"/>
      <c r="E87" s="11" t="str">
        <f>IF(D87="","",IFERROR(INDEX('Master Produk'!$B$2:$B$101,MATCH(D87,'Master Produk'!$A$2:$A$101,0)),"SKU tidak ada di master"))</f>
        <v/>
      </c>
      <c r="F87" s="6"/>
      <c r="G87" s="12" t="str">
        <f>IF(D87="","",IFERROR(INDEX('Master Produk'!$C$2:$C$101,MATCH(D87,'Master Produk'!$A$2:$A$101,0)),0)+SUMIFS(F$1:F86,D$1:D86,D87))</f>
        <v/>
      </c>
      <c r="H87" s="12" t="str">
        <f t="shared" si="3"/>
        <v/>
      </c>
      <c r="I87" s="5"/>
      <c r="J87" s="5"/>
      <c r="K87" s="11" t="str">
        <f>IF(D87="","",IF(ISNA(MATCH(D87,'Master Produk'!$A$2:$A$101,0)),"SKU tidak ada di master",IF(AND(C87="Stok masuk",F87&lt;0),"Stok masuk harus +",IF(AND(C87="Stok keluar",F87&gt;0),"Stok keluar harus -",IF(H87&lt;0,"Stok negatif","OK")))))</f>
        <v/>
      </c>
    </row>
    <row r="88" spans="1:11" x14ac:dyDescent="0.3">
      <c r="A88" s="9" t="str">
        <f t="shared" si="2"/>
        <v/>
      </c>
      <c r="B88" s="10"/>
      <c r="C88" s="5"/>
      <c r="D88" s="5"/>
      <c r="E88" s="11" t="str">
        <f>IF(D88="","",IFERROR(INDEX('Master Produk'!$B$2:$B$101,MATCH(D88,'Master Produk'!$A$2:$A$101,0)),"SKU tidak ada di master"))</f>
        <v/>
      </c>
      <c r="F88" s="6"/>
      <c r="G88" s="12" t="str">
        <f>IF(D88="","",IFERROR(INDEX('Master Produk'!$C$2:$C$101,MATCH(D88,'Master Produk'!$A$2:$A$101,0)),0)+SUMIFS(F$1:F87,D$1:D87,D88))</f>
        <v/>
      </c>
      <c r="H88" s="12" t="str">
        <f t="shared" si="3"/>
        <v/>
      </c>
      <c r="I88" s="5"/>
      <c r="J88" s="5"/>
      <c r="K88" s="11" t="str">
        <f>IF(D88="","",IF(ISNA(MATCH(D88,'Master Produk'!$A$2:$A$101,0)),"SKU tidak ada di master",IF(AND(C88="Stok masuk",F88&lt;0),"Stok masuk harus +",IF(AND(C88="Stok keluar",F88&gt;0),"Stok keluar harus -",IF(H88&lt;0,"Stok negatif","OK")))))</f>
        <v/>
      </c>
    </row>
    <row r="89" spans="1:11" x14ac:dyDescent="0.3">
      <c r="A89" s="9" t="str">
        <f t="shared" si="2"/>
        <v/>
      </c>
      <c r="B89" s="10"/>
      <c r="C89" s="5"/>
      <c r="D89" s="5"/>
      <c r="E89" s="11" t="str">
        <f>IF(D89="","",IFERROR(INDEX('Master Produk'!$B$2:$B$101,MATCH(D89,'Master Produk'!$A$2:$A$101,0)),"SKU tidak ada di master"))</f>
        <v/>
      </c>
      <c r="F89" s="6"/>
      <c r="G89" s="12" t="str">
        <f>IF(D89="","",IFERROR(INDEX('Master Produk'!$C$2:$C$101,MATCH(D89,'Master Produk'!$A$2:$A$101,0)),0)+SUMIFS(F$1:F88,D$1:D88,D89))</f>
        <v/>
      </c>
      <c r="H89" s="12" t="str">
        <f t="shared" si="3"/>
        <v/>
      </c>
      <c r="I89" s="5"/>
      <c r="J89" s="5"/>
      <c r="K89" s="11" t="str">
        <f>IF(D89="","",IF(ISNA(MATCH(D89,'Master Produk'!$A$2:$A$101,0)),"SKU tidak ada di master",IF(AND(C89="Stok masuk",F89&lt;0),"Stok masuk harus +",IF(AND(C89="Stok keluar",F89&gt;0),"Stok keluar harus -",IF(H89&lt;0,"Stok negatif","OK")))))</f>
        <v/>
      </c>
    </row>
    <row r="90" spans="1:11" x14ac:dyDescent="0.3">
      <c r="A90" s="9" t="str">
        <f t="shared" si="2"/>
        <v/>
      </c>
      <c r="B90" s="10"/>
      <c r="C90" s="5"/>
      <c r="D90" s="5"/>
      <c r="E90" s="11" t="str">
        <f>IF(D90="","",IFERROR(INDEX('Master Produk'!$B$2:$B$101,MATCH(D90,'Master Produk'!$A$2:$A$101,0)),"SKU tidak ada di master"))</f>
        <v/>
      </c>
      <c r="F90" s="6"/>
      <c r="G90" s="12" t="str">
        <f>IF(D90="","",IFERROR(INDEX('Master Produk'!$C$2:$C$101,MATCH(D90,'Master Produk'!$A$2:$A$101,0)),0)+SUMIFS(F$1:F89,D$1:D89,D90))</f>
        <v/>
      </c>
      <c r="H90" s="12" t="str">
        <f t="shared" si="3"/>
        <v/>
      </c>
      <c r="I90" s="5"/>
      <c r="J90" s="5"/>
      <c r="K90" s="11" t="str">
        <f>IF(D90="","",IF(ISNA(MATCH(D90,'Master Produk'!$A$2:$A$101,0)),"SKU tidak ada di master",IF(AND(C90="Stok masuk",F90&lt;0),"Stok masuk harus +",IF(AND(C90="Stok keluar",F90&gt;0),"Stok keluar harus -",IF(H90&lt;0,"Stok negatif","OK")))))</f>
        <v/>
      </c>
    </row>
    <row r="91" spans="1:11" x14ac:dyDescent="0.3">
      <c r="A91" s="9" t="str">
        <f t="shared" si="2"/>
        <v/>
      </c>
      <c r="B91" s="10"/>
      <c r="C91" s="5"/>
      <c r="D91" s="5"/>
      <c r="E91" s="11" t="str">
        <f>IF(D91="","",IFERROR(INDEX('Master Produk'!$B$2:$B$101,MATCH(D91,'Master Produk'!$A$2:$A$101,0)),"SKU tidak ada di master"))</f>
        <v/>
      </c>
      <c r="F91" s="6"/>
      <c r="G91" s="12" t="str">
        <f>IF(D91="","",IFERROR(INDEX('Master Produk'!$C$2:$C$101,MATCH(D91,'Master Produk'!$A$2:$A$101,0)),0)+SUMIFS(F$1:F90,D$1:D90,D91))</f>
        <v/>
      </c>
      <c r="H91" s="12" t="str">
        <f t="shared" si="3"/>
        <v/>
      </c>
      <c r="I91" s="5"/>
      <c r="J91" s="5"/>
      <c r="K91" s="11" t="str">
        <f>IF(D91="","",IF(ISNA(MATCH(D91,'Master Produk'!$A$2:$A$101,0)),"SKU tidak ada di master",IF(AND(C91="Stok masuk",F91&lt;0),"Stok masuk harus +",IF(AND(C91="Stok keluar",F91&gt;0),"Stok keluar harus -",IF(H91&lt;0,"Stok negatif","OK")))))</f>
        <v/>
      </c>
    </row>
    <row r="92" spans="1:11" x14ac:dyDescent="0.3">
      <c r="A92" s="9" t="str">
        <f t="shared" si="2"/>
        <v/>
      </c>
      <c r="B92" s="10"/>
      <c r="C92" s="5"/>
      <c r="D92" s="5"/>
      <c r="E92" s="11" t="str">
        <f>IF(D92="","",IFERROR(INDEX('Master Produk'!$B$2:$B$101,MATCH(D92,'Master Produk'!$A$2:$A$101,0)),"SKU tidak ada di master"))</f>
        <v/>
      </c>
      <c r="F92" s="6"/>
      <c r="G92" s="12" t="str">
        <f>IF(D92="","",IFERROR(INDEX('Master Produk'!$C$2:$C$101,MATCH(D92,'Master Produk'!$A$2:$A$101,0)),0)+SUMIFS(F$1:F91,D$1:D91,D92))</f>
        <v/>
      </c>
      <c r="H92" s="12" t="str">
        <f t="shared" si="3"/>
        <v/>
      </c>
      <c r="I92" s="5"/>
      <c r="J92" s="5"/>
      <c r="K92" s="11" t="str">
        <f>IF(D92="","",IF(ISNA(MATCH(D92,'Master Produk'!$A$2:$A$101,0)),"SKU tidak ada di master",IF(AND(C92="Stok masuk",F92&lt;0),"Stok masuk harus +",IF(AND(C92="Stok keluar",F92&gt;0),"Stok keluar harus -",IF(H92&lt;0,"Stok negatif","OK")))))</f>
        <v/>
      </c>
    </row>
    <row r="93" spans="1:11" x14ac:dyDescent="0.3">
      <c r="A93" s="9" t="str">
        <f t="shared" si="2"/>
        <v/>
      </c>
      <c r="B93" s="10"/>
      <c r="C93" s="5"/>
      <c r="D93" s="5"/>
      <c r="E93" s="11" t="str">
        <f>IF(D93="","",IFERROR(INDEX('Master Produk'!$B$2:$B$101,MATCH(D93,'Master Produk'!$A$2:$A$101,0)),"SKU tidak ada di master"))</f>
        <v/>
      </c>
      <c r="F93" s="6"/>
      <c r="G93" s="12" t="str">
        <f>IF(D93="","",IFERROR(INDEX('Master Produk'!$C$2:$C$101,MATCH(D93,'Master Produk'!$A$2:$A$101,0)),0)+SUMIFS(F$1:F92,D$1:D92,D93))</f>
        <v/>
      </c>
      <c r="H93" s="12" t="str">
        <f t="shared" si="3"/>
        <v/>
      </c>
      <c r="I93" s="5"/>
      <c r="J93" s="5"/>
      <c r="K93" s="11" t="str">
        <f>IF(D93="","",IF(ISNA(MATCH(D93,'Master Produk'!$A$2:$A$101,0)),"SKU tidak ada di master",IF(AND(C93="Stok masuk",F93&lt;0),"Stok masuk harus +",IF(AND(C93="Stok keluar",F93&gt;0),"Stok keluar harus -",IF(H93&lt;0,"Stok negatif","OK")))))</f>
        <v/>
      </c>
    </row>
    <row r="94" spans="1:11" x14ac:dyDescent="0.3">
      <c r="A94" s="9" t="str">
        <f t="shared" si="2"/>
        <v/>
      </c>
      <c r="B94" s="10"/>
      <c r="C94" s="5"/>
      <c r="D94" s="5"/>
      <c r="E94" s="11" t="str">
        <f>IF(D94="","",IFERROR(INDEX('Master Produk'!$B$2:$B$101,MATCH(D94,'Master Produk'!$A$2:$A$101,0)),"SKU tidak ada di master"))</f>
        <v/>
      </c>
      <c r="F94" s="6"/>
      <c r="G94" s="12" t="str">
        <f>IF(D94="","",IFERROR(INDEX('Master Produk'!$C$2:$C$101,MATCH(D94,'Master Produk'!$A$2:$A$101,0)),0)+SUMIFS(F$1:F93,D$1:D93,D94))</f>
        <v/>
      </c>
      <c r="H94" s="12" t="str">
        <f t="shared" si="3"/>
        <v/>
      </c>
      <c r="I94" s="5"/>
      <c r="J94" s="5"/>
      <c r="K94" s="11" t="str">
        <f>IF(D94="","",IF(ISNA(MATCH(D94,'Master Produk'!$A$2:$A$101,0)),"SKU tidak ada di master",IF(AND(C94="Stok masuk",F94&lt;0),"Stok masuk harus +",IF(AND(C94="Stok keluar",F94&gt;0),"Stok keluar harus -",IF(H94&lt;0,"Stok negatif","OK")))))</f>
        <v/>
      </c>
    </row>
    <row r="95" spans="1:11" x14ac:dyDescent="0.3">
      <c r="A95" s="9" t="str">
        <f t="shared" si="2"/>
        <v/>
      </c>
      <c r="B95" s="10"/>
      <c r="C95" s="5"/>
      <c r="D95" s="5"/>
      <c r="E95" s="11" t="str">
        <f>IF(D95="","",IFERROR(INDEX('Master Produk'!$B$2:$B$101,MATCH(D95,'Master Produk'!$A$2:$A$101,0)),"SKU tidak ada di master"))</f>
        <v/>
      </c>
      <c r="F95" s="6"/>
      <c r="G95" s="12" t="str">
        <f>IF(D95="","",IFERROR(INDEX('Master Produk'!$C$2:$C$101,MATCH(D95,'Master Produk'!$A$2:$A$101,0)),0)+SUMIFS(F$1:F94,D$1:D94,D95))</f>
        <v/>
      </c>
      <c r="H95" s="12" t="str">
        <f t="shared" si="3"/>
        <v/>
      </c>
      <c r="I95" s="5"/>
      <c r="J95" s="5"/>
      <c r="K95" s="11" t="str">
        <f>IF(D95="","",IF(ISNA(MATCH(D95,'Master Produk'!$A$2:$A$101,0)),"SKU tidak ada di master",IF(AND(C95="Stok masuk",F95&lt;0),"Stok masuk harus +",IF(AND(C95="Stok keluar",F95&gt;0),"Stok keluar harus -",IF(H95&lt;0,"Stok negatif","OK")))))</f>
        <v/>
      </c>
    </row>
    <row r="96" spans="1:11" x14ac:dyDescent="0.3">
      <c r="A96" s="9" t="str">
        <f t="shared" si="2"/>
        <v/>
      </c>
      <c r="B96" s="10"/>
      <c r="C96" s="5"/>
      <c r="D96" s="5"/>
      <c r="E96" s="11" t="str">
        <f>IF(D96="","",IFERROR(INDEX('Master Produk'!$B$2:$B$101,MATCH(D96,'Master Produk'!$A$2:$A$101,0)),"SKU tidak ada di master"))</f>
        <v/>
      </c>
      <c r="F96" s="6"/>
      <c r="G96" s="12" t="str">
        <f>IF(D96="","",IFERROR(INDEX('Master Produk'!$C$2:$C$101,MATCH(D96,'Master Produk'!$A$2:$A$101,0)),0)+SUMIFS(F$1:F95,D$1:D95,D96))</f>
        <v/>
      </c>
      <c r="H96" s="12" t="str">
        <f t="shared" si="3"/>
        <v/>
      </c>
      <c r="I96" s="5"/>
      <c r="J96" s="5"/>
      <c r="K96" s="11" t="str">
        <f>IF(D96="","",IF(ISNA(MATCH(D96,'Master Produk'!$A$2:$A$101,0)),"SKU tidak ada di master",IF(AND(C96="Stok masuk",F96&lt;0),"Stok masuk harus +",IF(AND(C96="Stok keluar",F96&gt;0),"Stok keluar harus -",IF(H96&lt;0,"Stok negatif","OK")))))</f>
        <v/>
      </c>
    </row>
    <row r="97" spans="1:11" x14ac:dyDescent="0.3">
      <c r="A97" s="9" t="str">
        <f t="shared" si="2"/>
        <v/>
      </c>
      <c r="B97" s="10"/>
      <c r="C97" s="5"/>
      <c r="D97" s="5"/>
      <c r="E97" s="11" t="str">
        <f>IF(D97="","",IFERROR(INDEX('Master Produk'!$B$2:$B$101,MATCH(D97,'Master Produk'!$A$2:$A$101,0)),"SKU tidak ada di master"))</f>
        <v/>
      </c>
      <c r="F97" s="6"/>
      <c r="G97" s="12" t="str">
        <f>IF(D97="","",IFERROR(INDEX('Master Produk'!$C$2:$C$101,MATCH(D97,'Master Produk'!$A$2:$A$101,0)),0)+SUMIFS(F$1:F96,D$1:D96,D97))</f>
        <v/>
      </c>
      <c r="H97" s="12" t="str">
        <f t="shared" si="3"/>
        <v/>
      </c>
      <c r="I97" s="5"/>
      <c r="J97" s="5"/>
      <c r="K97" s="11" t="str">
        <f>IF(D97="","",IF(ISNA(MATCH(D97,'Master Produk'!$A$2:$A$101,0)),"SKU tidak ada di master",IF(AND(C97="Stok masuk",F97&lt;0),"Stok masuk harus +",IF(AND(C97="Stok keluar",F97&gt;0),"Stok keluar harus -",IF(H97&lt;0,"Stok negatif","OK")))))</f>
        <v/>
      </c>
    </row>
    <row r="98" spans="1:11" x14ac:dyDescent="0.3">
      <c r="A98" s="9" t="str">
        <f t="shared" si="2"/>
        <v/>
      </c>
      <c r="B98" s="10"/>
      <c r="C98" s="5"/>
      <c r="D98" s="5"/>
      <c r="E98" s="11" t="str">
        <f>IF(D98="","",IFERROR(INDEX('Master Produk'!$B$2:$B$101,MATCH(D98,'Master Produk'!$A$2:$A$101,0)),"SKU tidak ada di master"))</f>
        <v/>
      </c>
      <c r="F98" s="6"/>
      <c r="G98" s="12" t="str">
        <f>IF(D98="","",IFERROR(INDEX('Master Produk'!$C$2:$C$101,MATCH(D98,'Master Produk'!$A$2:$A$101,0)),0)+SUMIFS(F$1:F97,D$1:D97,D98))</f>
        <v/>
      </c>
      <c r="H98" s="12" t="str">
        <f t="shared" si="3"/>
        <v/>
      </c>
      <c r="I98" s="5"/>
      <c r="J98" s="5"/>
      <c r="K98" s="11" t="str">
        <f>IF(D98="","",IF(ISNA(MATCH(D98,'Master Produk'!$A$2:$A$101,0)),"SKU tidak ada di master",IF(AND(C98="Stok masuk",F98&lt;0),"Stok masuk harus +",IF(AND(C98="Stok keluar",F98&gt;0),"Stok keluar harus -",IF(H98&lt;0,"Stok negatif","OK")))))</f>
        <v/>
      </c>
    </row>
    <row r="99" spans="1:11" x14ac:dyDescent="0.3">
      <c r="A99" s="9" t="str">
        <f t="shared" si="2"/>
        <v/>
      </c>
      <c r="B99" s="10"/>
      <c r="C99" s="5"/>
      <c r="D99" s="5"/>
      <c r="E99" s="11" t="str">
        <f>IF(D99="","",IFERROR(INDEX('Master Produk'!$B$2:$B$101,MATCH(D99,'Master Produk'!$A$2:$A$101,0)),"SKU tidak ada di master"))</f>
        <v/>
      </c>
      <c r="F99" s="6"/>
      <c r="G99" s="12" t="str">
        <f>IF(D99="","",IFERROR(INDEX('Master Produk'!$C$2:$C$101,MATCH(D99,'Master Produk'!$A$2:$A$101,0)),0)+SUMIFS(F$1:F98,D$1:D98,D99))</f>
        <v/>
      </c>
      <c r="H99" s="12" t="str">
        <f t="shared" si="3"/>
        <v/>
      </c>
      <c r="I99" s="5"/>
      <c r="J99" s="5"/>
      <c r="K99" s="11" t="str">
        <f>IF(D99="","",IF(ISNA(MATCH(D99,'Master Produk'!$A$2:$A$101,0)),"SKU tidak ada di master",IF(AND(C99="Stok masuk",F99&lt;0),"Stok masuk harus +",IF(AND(C99="Stok keluar",F99&gt;0),"Stok keluar harus -",IF(H99&lt;0,"Stok negatif","OK")))))</f>
        <v/>
      </c>
    </row>
    <row r="100" spans="1:11" x14ac:dyDescent="0.3">
      <c r="A100" s="9" t="str">
        <f t="shared" si="2"/>
        <v/>
      </c>
      <c r="B100" s="10"/>
      <c r="C100" s="5"/>
      <c r="D100" s="5"/>
      <c r="E100" s="11" t="str">
        <f>IF(D100="","",IFERROR(INDEX('Master Produk'!$B$2:$B$101,MATCH(D100,'Master Produk'!$A$2:$A$101,0)),"SKU tidak ada di master"))</f>
        <v/>
      </c>
      <c r="F100" s="6"/>
      <c r="G100" s="12" t="str">
        <f>IF(D100="","",IFERROR(INDEX('Master Produk'!$C$2:$C$101,MATCH(D100,'Master Produk'!$A$2:$A$101,0)),0)+SUMIFS(F$1:F99,D$1:D99,D100))</f>
        <v/>
      </c>
      <c r="H100" s="12" t="str">
        <f t="shared" si="3"/>
        <v/>
      </c>
      <c r="I100" s="5"/>
      <c r="J100" s="5"/>
      <c r="K100" s="11" t="str">
        <f>IF(D100="","",IF(ISNA(MATCH(D100,'Master Produk'!$A$2:$A$101,0)),"SKU tidak ada di master",IF(AND(C100="Stok masuk",F100&lt;0),"Stok masuk harus +",IF(AND(C100="Stok keluar",F100&gt;0),"Stok keluar harus -",IF(H100&lt;0,"Stok negatif","OK")))))</f>
        <v/>
      </c>
    </row>
    <row r="101" spans="1:11" x14ac:dyDescent="0.3">
      <c r="A101" s="9" t="str">
        <f t="shared" si="2"/>
        <v/>
      </c>
      <c r="B101" s="10"/>
      <c r="C101" s="5"/>
      <c r="D101" s="5"/>
      <c r="E101" s="11" t="str">
        <f>IF(D101="","",IFERROR(INDEX('Master Produk'!$B$2:$B$101,MATCH(D101,'Master Produk'!$A$2:$A$101,0)),"SKU tidak ada di master"))</f>
        <v/>
      </c>
      <c r="F101" s="6"/>
      <c r="G101" s="12" t="str">
        <f>IF(D101="","",IFERROR(INDEX('Master Produk'!$C$2:$C$101,MATCH(D101,'Master Produk'!$A$2:$A$101,0)),0)+SUMIFS(F$1:F100,D$1:D100,D101))</f>
        <v/>
      </c>
      <c r="H101" s="12" t="str">
        <f t="shared" si="3"/>
        <v/>
      </c>
      <c r="I101" s="5"/>
      <c r="J101" s="5"/>
      <c r="K101" s="11" t="str">
        <f>IF(D101="","",IF(ISNA(MATCH(D101,'Master Produk'!$A$2:$A$101,0)),"SKU tidak ada di master",IF(AND(C101="Stok masuk",F101&lt;0),"Stok masuk harus +",IF(AND(C101="Stok keluar",F101&gt;0),"Stok keluar harus -",IF(H101&lt;0,"Stok negatif","OK")))))</f>
        <v/>
      </c>
    </row>
    <row r="102" spans="1:11" x14ac:dyDescent="0.3">
      <c r="A102" s="9" t="str">
        <f t="shared" si="2"/>
        <v/>
      </c>
      <c r="B102" s="10"/>
      <c r="C102" s="5"/>
      <c r="D102" s="5"/>
      <c r="E102" s="11" t="str">
        <f>IF(D102="","",IFERROR(INDEX('Master Produk'!$B$2:$B$101,MATCH(D102,'Master Produk'!$A$2:$A$101,0)),"SKU tidak ada di master"))</f>
        <v/>
      </c>
      <c r="F102" s="6"/>
      <c r="G102" s="12" t="str">
        <f>IF(D102="","",IFERROR(INDEX('Master Produk'!$C$2:$C$101,MATCH(D102,'Master Produk'!$A$2:$A$101,0)),0)+SUMIFS(F$1:F101,D$1:D101,D102))</f>
        <v/>
      </c>
      <c r="H102" s="12" t="str">
        <f t="shared" si="3"/>
        <v/>
      </c>
      <c r="I102" s="5"/>
      <c r="J102" s="5"/>
      <c r="K102" s="11" t="str">
        <f>IF(D102="","",IF(ISNA(MATCH(D102,'Master Produk'!$A$2:$A$101,0)),"SKU tidak ada di master",IF(AND(C102="Stok masuk",F102&lt;0),"Stok masuk harus +",IF(AND(C102="Stok keluar",F102&gt;0),"Stok keluar harus -",IF(H102&lt;0,"Stok negatif","OK")))))</f>
        <v/>
      </c>
    </row>
    <row r="103" spans="1:11" x14ac:dyDescent="0.3">
      <c r="A103" s="9" t="str">
        <f t="shared" si="2"/>
        <v/>
      </c>
      <c r="B103" s="10"/>
      <c r="C103" s="5"/>
      <c r="D103" s="5"/>
      <c r="E103" s="11" t="str">
        <f>IF(D103="","",IFERROR(INDEX('Master Produk'!$B$2:$B$101,MATCH(D103,'Master Produk'!$A$2:$A$101,0)),"SKU tidak ada di master"))</f>
        <v/>
      </c>
      <c r="F103" s="6"/>
      <c r="G103" s="12" t="str">
        <f>IF(D103="","",IFERROR(INDEX('Master Produk'!$C$2:$C$101,MATCH(D103,'Master Produk'!$A$2:$A$101,0)),0)+SUMIFS(F$1:F102,D$1:D102,D103))</f>
        <v/>
      </c>
      <c r="H103" s="12" t="str">
        <f t="shared" si="3"/>
        <v/>
      </c>
      <c r="I103" s="5"/>
      <c r="J103" s="5"/>
      <c r="K103" s="11" t="str">
        <f>IF(D103="","",IF(ISNA(MATCH(D103,'Master Produk'!$A$2:$A$101,0)),"SKU tidak ada di master",IF(AND(C103="Stok masuk",F103&lt;0),"Stok masuk harus +",IF(AND(C103="Stok keluar",F103&gt;0),"Stok keluar harus -",IF(H103&lt;0,"Stok negatif","OK")))))</f>
        <v/>
      </c>
    </row>
    <row r="104" spans="1:11" x14ac:dyDescent="0.3">
      <c r="A104" s="9" t="str">
        <f t="shared" si="2"/>
        <v/>
      </c>
      <c r="B104" s="10"/>
      <c r="C104" s="5"/>
      <c r="D104" s="5"/>
      <c r="E104" s="11" t="str">
        <f>IF(D104="","",IFERROR(INDEX('Master Produk'!$B$2:$B$101,MATCH(D104,'Master Produk'!$A$2:$A$101,0)),"SKU tidak ada di master"))</f>
        <v/>
      </c>
      <c r="F104" s="6"/>
      <c r="G104" s="12" t="str">
        <f>IF(D104="","",IFERROR(INDEX('Master Produk'!$C$2:$C$101,MATCH(D104,'Master Produk'!$A$2:$A$101,0)),0)+SUMIFS(F$1:F103,D$1:D103,D104))</f>
        <v/>
      </c>
      <c r="H104" s="12" t="str">
        <f t="shared" si="3"/>
        <v/>
      </c>
      <c r="I104" s="5"/>
      <c r="J104" s="5"/>
      <c r="K104" s="11" t="str">
        <f>IF(D104="","",IF(ISNA(MATCH(D104,'Master Produk'!$A$2:$A$101,0)),"SKU tidak ada di master",IF(AND(C104="Stok masuk",F104&lt;0),"Stok masuk harus +",IF(AND(C104="Stok keluar",F104&gt;0),"Stok keluar harus -",IF(H104&lt;0,"Stok negatif","OK")))))</f>
        <v/>
      </c>
    </row>
    <row r="105" spans="1:11" x14ac:dyDescent="0.3">
      <c r="A105" s="9" t="str">
        <f t="shared" si="2"/>
        <v/>
      </c>
      <c r="B105" s="10"/>
      <c r="C105" s="5"/>
      <c r="D105" s="5"/>
      <c r="E105" s="11" t="str">
        <f>IF(D105="","",IFERROR(INDEX('Master Produk'!$B$2:$B$101,MATCH(D105,'Master Produk'!$A$2:$A$101,0)),"SKU tidak ada di master"))</f>
        <v/>
      </c>
      <c r="F105" s="6"/>
      <c r="G105" s="12" t="str">
        <f>IF(D105="","",IFERROR(INDEX('Master Produk'!$C$2:$C$101,MATCH(D105,'Master Produk'!$A$2:$A$101,0)),0)+SUMIFS(F$1:F104,D$1:D104,D105))</f>
        <v/>
      </c>
      <c r="H105" s="12" t="str">
        <f t="shared" si="3"/>
        <v/>
      </c>
      <c r="I105" s="5"/>
      <c r="J105" s="5"/>
      <c r="K105" s="11" t="str">
        <f>IF(D105="","",IF(ISNA(MATCH(D105,'Master Produk'!$A$2:$A$101,0)),"SKU tidak ada di master",IF(AND(C105="Stok masuk",F105&lt;0),"Stok masuk harus +",IF(AND(C105="Stok keluar",F105&gt;0),"Stok keluar harus -",IF(H105&lt;0,"Stok negatif","OK")))))</f>
        <v/>
      </c>
    </row>
    <row r="106" spans="1:11" x14ac:dyDescent="0.3">
      <c r="A106" s="9" t="str">
        <f t="shared" si="2"/>
        <v/>
      </c>
      <c r="B106" s="10"/>
      <c r="C106" s="5"/>
      <c r="D106" s="5"/>
      <c r="E106" s="11" t="str">
        <f>IF(D106="","",IFERROR(INDEX('Master Produk'!$B$2:$B$101,MATCH(D106,'Master Produk'!$A$2:$A$101,0)),"SKU tidak ada di master"))</f>
        <v/>
      </c>
      <c r="F106" s="6"/>
      <c r="G106" s="12" t="str">
        <f>IF(D106="","",IFERROR(INDEX('Master Produk'!$C$2:$C$101,MATCH(D106,'Master Produk'!$A$2:$A$101,0)),0)+SUMIFS(F$1:F105,D$1:D105,D106))</f>
        <v/>
      </c>
      <c r="H106" s="12" t="str">
        <f t="shared" si="3"/>
        <v/>
      </c>
      <c r="I106" s="5"/>
      <c r="J106" s="5"/>
      <c r="K106" s="11" t="str">
        <f>IF(D106="","",IF(ISNA(MATCH(D106,'Master Produk'!$A$2:$A$101,0)),"SKU tidak ada di master",IF(AND(C106="Stok masuk",F106&lt;0),"Stok masuk harus +",IF(AND(C106="Stok keluar",F106&gt;0),"Stok keluar harus -",IF(H106&lt;0,"Stok negatif","OK")))))</f>
        <v/>
      </c>
    </row>
    <row r="107" spans="1:11" x14ac:dyDescent="0.3">
      <c r="A107" s="9" t="str">
        <f t="shared" si="2"/>
        <v/>
      </c>
      <c r="B107" s="10"/>
      <c r="C107" s="5"/>
      <c r="D107" s="5"/>
      <c r="E107" s="11" t="str">
        <f>IF(D107="","",IFERROR(INDEX('Master Produk'!$B$2:$B$101,MATCH(D107,'Master Produk'!$A$2:$A$101,0)),"SKU tidak ada di master"))</f>
        <v/>
      </c>
      <c r="F107" s="6"/>
      <c r="G107" s="12" t="str">
        <f>IF(D107="","",IFERROR(INDEX('Master Produk'!$C$2:$C$101,MATCH(D107,'Master Produk'!$A$2:$A$101,0)),0)+SUMIFS(F$1:F106,D$1:D106,D107))</f>
        <v/>
      </c>
      <c r="H107" s="12" t="str">
        <f t="shared" si="3"/>
        <v/>
      </c>
      <c r="I107" s="5"/>
      <c r="J107" s="5"/>
      <c r="K107" s="11" t="str">
        <f>IF(D107="","",IF(ISNA(MATCH(D107,'Master Produk'!$A$2:$A$101,0)),"SKU tidak ada di master",IF(AND(C107="Stok masuk",F107&lt;0),"Stok masuk harus +",IF(AND(C107="Stok keluar",F107&gt;0),"Stok keluar harus -",IF(H107&lt;0,"Stok negatif","OK")))))</f>
        <v/>
      </c>
    </row>
    <row r="108" spans="1:11" x14ac:dyDescent="0.3">
      <c r="A108" s="9" t="str">
        <f t="shared" si="2"/>
        <v/>
      </c>
      <c r="B108" s="10"/>
      <c r="C108" s="5"/>
      <c r="D108" s="5"/>
      <c r="E108" s="11" t="str">
        <f>IF(D108="","",IFERROR(INDEX('Master Produk'!$B$2:$B$101,MATCH(D108,'Master Produk'!$A$2:$A$101,0)),"SKU tidak ada di master"))</f>
        <v/>
      </c>
      <c r="F108" s="6"/>
      <c r="G108" s="12" t="str">
        <f>IF(D108="","",IFERROR(INDEX('Master Produk'!$C$2:$C$101,MATCH(D108,'Master Produk'!$A$2:$A$101,0)),0)+SUMIFS(F$1:F107,D$1:D107,D108))</f>
        <v/>
      </c>
      <c r="H108" s="12" t="str">
        <f t="shared" si="3"/>
        <v/>
      </c>
      <c r="I108" s="5"/>
      <c r="J108" s="5"/>
      <c r="K108" s="11" t="str">
        <f>IF(D108="","",IF(ISNA(MATCH(D108,'Master Produk'!$A$2:$A$101,0)),"SKU tidak ada di master",IF(AND(C108="Stok masuk",F108&lt;0),"Stok masuk harus +",IF(AND(C108="Stok keluar",F108&gt;0),"Stok keluar harus -",IF(H108&lt;0,"Stok negatif","OK")))))</f>
        <v/>
      </c>
    </row>
    <row r="109" spans="1:11" x14ac:dyDescent="0.3">
      <c r="A109" s="9" t="str">
        <f t="shared" si="2"/>
        <v/>
      </c>
      <c r="B109" s="10"/>
      <c r="C109" s="5"/>
      <c r="D109" s="5"/>
      <c r="E109" s="11" t="str">
        <f>IF(D109="","",IFERROR(INDEX('Master Produk'!$B$2:$B$101,MATCH(D109,'Master Produk'!$A$2:$A$101,0)),"SKU tidak ada di master"))</f>
        <v/>
      </c>
      <c r="F109" s="6"/>
      <c r="G109" s="12" t="str">
        <f>IF(D109="","",IFERROR(INDEX('Master Produk'!$C$2:$C$101,MATCH(D109,'Master Produk'!$A$2:$A$101,0)),0)+SUMIFS(F$1:F108,D$1:D108,D109))</f>
        <v/>
      </c>
      <c r="H109" s="12" t="str">
        <f t="shared" si="3"/>
        <v/>
      </c>
      <c r="I109" s="5"/>
      <c r="J109" s="5"/>
      <c r="K109" s="11" t="str">
        <f>IF(D109="","",IF(ISNA(MATCH(D109,'Master Produk'!$A$2:$A$101,0)),"SKU tidak ada di master",IF(AND(C109="Stok masuk",F109&lt;0),"Stok masuk harus +",IF(AND(C109="Stok keluar",F109&gt;0),"Stok keluar harus -",IF(H109&lt;0,"Stok negatif","OK")))))</f>
        <v/>
      </c>
    </row>
    <row r="110" spans="1:11" x14ac:dyDescent="0.3">
      <c r="A110" s="9" t="str">
        <f t="shared" si="2"/>
        <v/>
      </c>
      <c r="B110" s="10"/>
      <c r="C110" s="5"/>
      <c r="D110" s="5"/>
      <c r="E110" s="11" t="str">
        <f>IF(D110="","",IFERROR(INDEX('Master Produk'!$B$2:$B$101,MATCH(D110,'Master Produk'!$A$2:$A$101,0)),"SKU tidak ada di master"))</f>
        <v/>
      </c>
      <c r="F110" s="6"/>
      <c r="G110" s="12" t="str">
        <f>IF(D110="","",IFERROR(INDEX('Master Produk'!$C$2:$C$101,MATCH(D110,'Master Produk'!$A$2:$A$101,0)),0)+SUMIFS(F$1:F109,D$1:D109,D110))</f>
        <v/>
      </c>
      <c r="H110" s="12" t="str">
        <f t="shared" si="3"/>
        <v/>
      </c>
      <c r="I110" s="5"/>
      <c r="J110" s="5"/>
      <c r="K110" s="11" t="str">
        <f>IF(D110="","",IF(ISNA(MATCH(D110,'Master Produk'!$A$2:$A$101,0)),"SKU tidak ada di master",IF(AND(C110="Stok masuk",F110&lt;0),"Stok masuk harus +",IF(AND(C110="Stok keluar",F110&gt;0),"Stok keluar harus -",IF(H110&lt;0,"Stok negatif","OK")))))</f>
        <v/>
      </c>
    </row>
    <row r="111" spans="1:11" x14ac:dyDescent="0.3">
      <c r="A111" s="9" t="str">
        <f t="shared" si="2"/>
        <v/>
      </c>
      <c r="B111" s="10"/>
      <c r="C111" s="5"/>
      <c r="D111" s="5"/>
      <c r="E111" s="11" t="str">
        <f>IF(D111="","",IFERROR(INDEX('Master Produk'!$B$2:$B$101,MATCH(D111,'Master Produk'!$A$2:$A$101,0)),"SKU tidak ada di master"))</f>
        <v/>
      </c>
      <c r="F111" s="6"/>
      <c r="G111" s="12" t="str">
        <f>IF(D111="","",IFERROR(INDEX('Master Produk'!$C$2:$C$101,MATCH(D111,'Master Produk'!$A$2:$A$101,0)),0)+SUMIFS(F$1:F110,D$1:D110,D111))</f>
        <v/>
      </c>
      <c r="H111" s="12" t="str">
        <f t="shared" si="3"/>
        <v/>
      </c>
      <c r="I111" s="5"/>
      <c r="J111" s="5"/>
      <c r="K111" s="11" t="str">
        <f>IF(D111="","",IF(ISNA(MATCH(D111,'Master Produk'!$A$2:$A$101,0)),"SKU tidak ada di master",IF(AND(C111="Stok masuk",F111&lt;0),"Stok masuk harus +",IF(AND(C111="Stok keluar",F111&gt;0),"Stok keluar harus -",IF(H111&lt;0,"Stok negatif","OK")))))</f>
        <v/>
      </c>
    </row>
    <row r="112" spans="1:11" x14ac:dyDescent="0.3">
      <c r="A112" s="9" t="str">
        <f t="shared" si="2"/>
        <v/>
      </c>
      <c r="B112" s="10"/>
      <c r="C112" s="5"/>
      <c r="D112" s="5"/>
      <c r="E112" s="11" t="str">
        <f>IF(D112="","",IFERROR(INDEX('Master Produk'!$B$2:$B$101,MATCH(D112,'Master Produk'!$A$2:$A$101,0)),"SKU tidak ada di master"))</f>
        <v/>
      </c>
      <c r="F112" s="6"/>
      <c r="G112" s="12" t="str">
        <f>IF(D112="","",IFERROR(INDEX('Master Produk'!$C$2:$C$101,MATCH(D112,'Master Produk'!$A$2:$A$101,0)),0)+SUMIFS(F$1:F111,D$1:D111,D112))</f>
        <v/>
      </c>
      <c r="H112" s="12" t="str">
        <f t="shared" si="3"/>
        <v/>
      </c>
      <c r="I112" s="5"/>
      <c r="J112" s="5"/>
      <c r="K112" s="11" t="str">
        <f>IF(D112="","",IF(ISNA(MATCH(D112,'Master Produk'!$A$2:$A$101,0)),"SKU tidak ada di master",IF(AND(C112="Stok masuk",F112&lt;0),"Stok masuk harus +",IF(AND(C112="Stok keluar",F112&gt;0),"Stok keluar harus -",IF(H112&lt;0,"Stok negatif","OK")))))</f>
        <v/>
      </c>
    </row>
    <row r="113" spans="1:11" x14ac:dyDescent="0.3">
      <c r="A113" s="9" t="str">
        <f t="shared" si="2"/>
        <v/>
      </c>
      <c r="B113" s="10"/>
      <c r="C113" s="5"/>
      <c r="D113" s="5"/>
      <c r="E113" s="11" t="str">
        <f>IF(D113="","",IFERROR(INDEX('Master Produk'!$B$2:$B$101,MATCH(D113,'Master Produk'!$A$2:$A$101,0)),"SKU tidak ada di master"))</f>
        <v/>
      </c>
      <c r="F113" s="6"/>
      <c r="G113" s="12" t="str">
        <f>IF(D113="","",IFERROR(INDEX('Master Produk'!$C$2:$C$101,MATCH(D113,'Master Produk'!$A$2:$A$101,0)),0)+SUMIFS(F$1:F112,D$1:D112,D113))</f>
        <v/>
      </c>
      <c r="H113" s="12" t="str">
        <f t="shared" si="3"/>
        <v/>
      </c>
      <c r="I113" s="5"/>
      <c r="J113" s="5"/>
      <c r="K113" s="11" t="str">
        <f>IF(D113="","",IF(ISNA(MATCH(D113,'Master Produk'!$A$2:$A$101,0)),"SKU tidak ada di master",IF(AND(C113="Stok masuk",F113&lt;0),"Stok masuk harus +",IF(AND(C113="Stok keluar",F113&gt;0),"Stok keluar harus -",IF(H113&lt;0,"Stok negatif","OK")))))</f>
        <v/>
      </c>
    </row>
    <row r="114" spans="1:11" x14ac:dyDescent="0.3">
      <c r="A114" s="9" t="str">
        <f t="shared" si="2"/>
        <v/>
      </c>
      <c r="B114" s="10"/>
      <c r="C114" s="5"/>
      <c r="D114" s="5"/>
      <c r="E114" s="11" t="str">
        <f>IF(D114="","",IFERROR(INDEX('Master Produk'!$B$2:$B$101,MATCH(D114,'Master Produk'!$A$2:$A$101,0)),"SKU tidak ada di master"))</f>
        <v/>
      </c>
      <c r="F114" s="6"/>
      <c r="G114" s="12" t="str">
        <f>IF(D114="","",IFERROR(INDEX('Master Produk'!$C$2:$C$101,MATCH(D114,'Master Produk'!$A$2:$A$101,0)),0)+SUMIFS(F$1:F113,D$1:D113,D114))</f>
        <v/>
      </c>
      <c r="H114" s="12" t="str">
        <f t="shared" si="3"/>
        <v/>
      </c>
      <c r="I114" s="5"/>
      <c r="J114" s="5"/>
      <c r="K114" s="11" t="str">
        <f>IF(D114="","",IF(ISNA(MATCH(D114,'Master Produk'!$A$2:$A$101,0)),"SKU tidak ada di master",IF(AND(C114="Stok masuk",F114&lt;0),"Stok masuk harus +",IF(AND(C114="Stok keluar",F114&gt;0),"Stok keluar harus -",IF(H114&lt;0,"Stok negatif","OK")))))</f>
        <v/>
      </c>
    </row>
    <row r="115" spans="1:11" x14ac:dyDescent="0.3">
      <c r="A115" s="9" t="str">
        <f t="shared" si="2"/>
        <v/>
      </c>
      <c r="B115" s="10"/>
      <c r="C115" s="5"/>
      <c r="D115" s="5"/>
      <c r="E115" s="11" t="str">
        <f>IF(D115="","",IFERROR(INDEX('Master Produk'!$B$2:$B$101,MATCH(D115,'Master Produk'!$A$2:$A$101,0)),"SKU tidak ada di master"))</f>
        <v/>
      </c>
      <c r="F115" s="6"/>
      <c r="G115" s="12" t="str">
        <f>IF(D115="","",IFERROR(INDEX('Master Produk'!$C$2:$C$101,MATCH(D115,'Master Produk'!$A$2:$A$101,0)),0)+SUMIFS(F$1:F114,D$1:D114,D115))</f>
        <v/>
      </c>
      <c r="H115" s="12" t="str">
        <f t="shared" si="3"/>
        <v/>
      </c>
      <c r="I115" s="5"/>
      <c r="J115" s="5"/>
      <c r="K115" s="11" t="str">
        <f>IF(D115="","",IF(ISNA(MATCH(D115,'Master Produk'!$A$2:$A$101,0)),"SKU tidak ada di master",IF(AND(C115="Stok masuk",F115&lt;0),"Stok masuk harus +",IF(AND(C115="Stok keluar",F115&gt;0),"Stok keluar harus -",IF(H115&lt;0,"Stok negatif","OK")))))</f>
        <v/>
      </c>
    </row>
    <row r="116" spans="1:11" x14ac:dyDescent="0.3">
      <c r="A116" s="9" t="str">
        <f t="shared" si="2"/>
        <v/>
      </c>
      <c r="B116" s="10"/>
      <c r="C116" s="5"/>
      <c r="D116" s="5"/>
      <c r="E116" s="11" t="str">
        <f>IF(D116="","",IFERROR(INDEX('Master Produk'!$B$2:$B$101,MATCH(D116,'Master Produk'!$A$2:$A$101,0)),"SKU tidak ada di master"))</f>
        <v/>
      </c>
      <c r="F116" s="6"/>
      <c r="G116" s="12" t="str">
        <f>IF(D116="","",IFERROR(INDEX('Master Produk'!$C$2:$C$101,MATCH(D116,'Master Produk'!$A$2:$A$101,0)),0)+SUMIFS(F$1:F115,D$1:D115,D116))</f>
        <v/>
      </c>
      <c r="H116" s="12" t="str">
        <f t="shared" si="3"/>
        <v/>
      </c>
      <c r="I116" s="5"/>
      <c r="J116" s="5"/>
      <c r="K116" s="11" t="str">
        <f>IF(D116="","",IF(ISNA(MATCH(D116,'Master Produk'!$A$2:$A$101,0)),"SKU tidak ada di master",IF(AND(C116="Stok masuk",F116&lt;0),"Stok masuk harus +",IF(AND(C116="Stok keluar",F116&gt;0),"Stok keluar harus -",IF(H116&lt;0,"Stok negatif","OK")))))</f>
        <v/>
      </c>
    </row>
    <row r="117" spans="1:11" x14ac:dyDescent="0.3">
      <c r="A117" s="9" t="str">
        <f t="shared" si="2"/>
        <v/>
      </c>
      <c r="B117" s="10"/>
      <c r="C117" s="5"/>
      <c r="D117" s="5"/>
      <c r="E117" s="11" t="str">
        <f>IF(D117="","",IFERROR(INDEX('Master Produk'!$B$2:$B$101,MATCH(D117,'Master Produk'!$A$2:$A$101,0)),"SKU tidak ada di master"))</f>
        <v/>
      </c>
      <c r="F117" s="6"/>
      <c r="G117" s="12" t="str">
        <f>IF(D117="","",IFERROR(INDEX('Master Produk'!$C$2:$C$101,MATCH(D117,'Master Produk'!$A$2:$A$101,0)),0)+SUMIFS(F$1:F116,D$1:D116,D117))</f>
        <v/>
      </c>
      <c r="H117" s="12" t="str">
        <f t="shared" si="3"/>
        <v/>
      </c>
      <c r="I117" s="5"/>
      <c r="J117" s="5"/>
      <c r="K117" s="11" t="str">
        <f>IF(D117="","",IF(ISNA(MATCH(D117,'Master Produk'!$A$2:$A$101,0)),"SKU tidak ada di master",IF(AND(C117="Stok masuk",F117&lt;0),"Stok masuk harus +",IF(AND(C117="Stok keluar",F117&gt;0),"Stok keluar harus -",IF(H117&lt;0,"Stok negatif","OK")))))</f>
        <v/>
      </c>
    </row>
    <row r="118" spans="1:11" x14ac:dyDescent="0.3">
      <c r="A118" s="9" t="str">
        <f t="shared" si="2"/>
        <v/>
      </c>
      <c r="B118" s="10"/>
      <c r="C118" s="5"/>
      <c r="D118" s="5"/>
      <c r="E118" s="11" t="str">
        <f>IF(D118="","",IFERROR(INDEX('Master Produk'!$B$2:$B$101,MATCH(D118,'Master Produk'!$A$2:$A$101,0)),"SKU tidak ada di master"))</f>
        <v/>
      </c>
      <c r="F118" s="6"/>
      <c r="G118" s="12" t="str">
        <f>IF(D118="","",IFERROR(INDEX('Master Produk'!$C$2:$C$101,MATCH(D118,'Master Produk'!$A$2:$A$101,0)),0)+SUMIFS(F$1:F117,D$1:D117,D118))</f>
        <v/>
      </c>
      <c r="H118" s="12" t="str">
        <f t="shared" si="3"/>
        <v/>
      </c>
      <c r="I118" s="5"/>
      <c r="J118" s="5"/>
      <c r="K118" s="11" t="str">
        <f>IF(D118="","",IF(ISNA(MATCH(D118,'Master Produk'!$A$2:$A$101,0)),"SKU tidak ada di master",IF(AND(C118="Stok masuk",F118&lt;0),"Stok masuk harus +",IF(AND(C118="Stok keluar",F118&gt;0),"Stok keluar harus -",IF(H118&lt;0,"Stok negatif","OK")))))</f>
        <v/>
      </c>
    </row>
    <row r="119" spans="1:11" x14ac:dyDescent="0.3">
      <c r="A119" s="9" t="str">
        <f t="shared" si="2"/>
        <v/>
      </c>
      <c r="B119" s="10"/>
      <c r="C119" s="5"/>
      <c r="D119" s="5"/>
      <c r="E119" s="11" t="str">
        <f>IF(D119="","",IFERROR(INDEX('Master Produk'!$B$2:$B$101,MATCH(D119,'Master Produk'!$A$2:$A$101,0)),"SKU tidak ada di master"))</f>
        <v/>
      </c>
      <c r="F119" s="6"/>
      <c r="G119" s="12" t="str">
        <f>IF(D119="","",IFERROR(INDEX('Master Produk'!$C$2:$C$101,MATCH(D119,'Master Produk'!$A$2:$A$101,0)),0)+SUMIFS(F$1:F118,D$1:D118,D119))</f>
        <v/>
      </c>
      <c r="H119" s="12" t="str">
        <f t="shared" si="3"/>
        <v/>
      </c>
      <c r="I119" s="5"/>
      <c r="J119" s="5"/>
      <c r="K119" s="11" t="str">
        <f>IF(D119="","",IF(ISNA(MATCH(D119,'Master Produk'!$A$2:$A$101,0)),"SKU tidak ada di master",IF(AND(C119="Stok masuk",F119&lt;0),"Stok masuk harus +",IF(AND(C119="Stok keluar",F119&gt;0),"Stok keluar harus -",IF(H119&lt;0,"Stok negatif","OK")))))</f>
        <v/>
      </c>
    </row>
    <row r="120" spans="1:11" x14ac:dyDescent="0.3">
      <c r="A120" s="9" t="str">
        <f t="shared" si="2"/>
        <v/>
      </c>
      <c r="B120" s="10"/>
      <c r="C120" s="5"/>
      <c r="D120" s="5"/>
      <c r="E120" s="11" t="str">
        <f>IF(D120="","",IFERROR(INDEX('Master Produk'!$B$2:$B$101,MATCH(D120,'Master Produk'!$A$2:$A$101,0)),"SKU tidak ada di master"))</f>
        <v/>
      </c>
      <c r="F120" s="6"/>
      <c r="G120" s="12" t="str">
        <f>IF(D120="","",IFERROR(INDEX('Master Produk'!$C$2:$C$101,MATCH(D120,'Master Produk'!$A$2:$A$101,0)),0)+SUMIFS(F$1:F119,D$1:D119,D120))</f>
        <v/>
      </c>
      <c r="H120" s="12" t="str">
        <f t="shared" si="3"/>
        <v/>
      </c>
      <c r="I120" s="5"/>
      <c r="J120" s="5"/>
      <c r="K120" s="11" t="str">
        <f>IF(D120="","",IF(ISNA(MATCH(D120,'Master Produk'!$A$2:$A$101,0)),"SKU tidak ada di master",IF(AND(C120="Stok masuk",F120&lt;0),"Stok masuk harus +",IF(AND(C120="Stok keluar",F120&gt;0),"Stok keluar harus -",IF(H120&lt;0,"Stok negatif","OK")))))</f>
        <v/>
      </c>
    </row>
    <row r="121" spans="1:11" x14ac:dyDescent="0.3">
      <c r="A121" s="9" t="str">
        <f t="shared" si="2"/>
        <v/>
      </c>
      <c r="B121" s="10"/>
      <c r="C121" s="5"/>
      <c r="D121" s="5"/>
      <c r="E121" s="11" t="str">
        <f>IF(D121="","",IFERROR(INDEX('Master Produk'!$B$2:$B$101,MATCH(D121,'Master Produk'!$A$2:$A$101,0)),"SKU tidak ada di master"))</f>
        <v/>
      </c>
      <c r="F121" s="6"/>
      <c r="G121" s="12" t="str">
        <f>IF(D121="","",IFERROR(INDEX('Master Produk'!$C$2:$C$101,MATCH(D121,'Master Produk'!$A$2:$A$101,0)),0)+SUMIFS(F$1:F120,D$1:D120,D121))</f>
        <v/>
      </c>
      <c r="H121" s="12" t="str">
        <f t="shared" si="3"/>
        <v/>
      </c>
      <c r="I121" s="5"/>
      <c r="J121" s="5"/>
      <c r="K121" s="11" t="str">
        <f>IF(D121="","",IF(ISNA(MATCH(D121,'Master Produk'!$A$2:$A$101,0)),"SKU tidak ada di master",IF(AND(C121="Stok masuk",F121&lt;0),"Stok masuk harus +",IF(AND(C121="Stok keluar",F121&gt;0),"Stok keluar harus -",IF(H121&lt;0,"Stok negatif","OK")))))</f>
        <v/>
      </c>
    </row>
    <row r="122" spans="1:11" x14ac:dyDescent="0.3">
      <c r="A122" s="9" t="str">
        <f t="shared" si="2"/>
        <v/>
      </c>
      <c r="B122" s="10"/>
      <c r="C122" s="5"/>
      <c r="D122" s="5"/>
      <c r="E122" s="11" t="str">
        <f>IF(D122="","",IFERROR(INDEX('Master Produk'!$B$2:$B$101,MATCH(D122,'Master Produk'!$A$2:$A$101,0)),"SKU tidak ada di master"))</f>
        <v/>
      </c>
      <c r="F122" s="6"/>
      <c r="G122" s="12" t="str">
        <f>IF(D122="","",IFERROR(INDEX('Master Produk'!$C$2:$C$101,MATCH(D122,'Master Produk'!$A$2:$A$101,0)),0)+SUMIFS(F$1:F121,D$1:D121,D122))</f>
        <v/>
      </c>
      <c r="H122" s="12" t="str">
        <f t="shared" si="3"/>
        <v/>
      </c>
      <c r="I122" s="5"/>
      <c r="J122" s="5"/>
      <c r="K122" s="11" t="str">
        <f>IF(D122="","",IF(ISNA(MATCH(D122,'Master Produk'!$A$2:$A$101,0)),"SKU tidak ada di master",IF(AND(C122="Stok masuk",F122&lt;0),"Stok masuk harus +",IF(AND(C122="Stok keluar",F122&gt;0),"Stok keluar harus -",IF(H122&lt;0,"Stok negatif","OK")))))</f>
        <v/>
      </c>
    </row>
    <row r="123" spans="1:11" x14ac:dyDescent="0.3">
      <c r="A123" s="9" t="str">
        <f t="shared" si="2"/>
        <v/>
      </c>
      <c r="B123" s="10"/>
      <c r="C123" s="5"/>
      <c r="D123" s="5"/>
      <c r="E123" s="11" t="str">
        <f>IF(D123="","",IFERROR(INDEX('Master Produk'!$B$2:$B$101,MATCH(D123,'Master Produk'!$A$2:$A$101,0)),"SKU tidak ada di master"))</f>
        <v/>
      </c>
      <c r="F123" s="6"/>
      <c r="G123" s="12" t="str">
        <f>IF(D123="","",IFERROR(INDEX('Master Produk'!$C$2:$C$101,MATCH(D123,'Master Produk'!$A$2:$A$101,0)),0)+SUMIFS(F$1:F122,D$1:D122,D123))</f>
        <v/>
      </c>
      <c r="H123" s="12" t="str">
        <f t="shared" si="3"/>
        <v/>
      </c>
      <c r="I123" s="5"/>
      <c r="J123" s="5"/>
      <c r="K123" s="11" t="str">
        <f>IF(D123="","",IF(ISNA(MATCH(D123,'Master Produk'!$A$2:$A$101,0)),"SKU tidak ada di master",IF(AND(C123="Stok masuk",F123&lt;0),"Stok masuk harus +",IF(AND(C123="Stok keluar",F123&gt;0),"Stok keluar harus -",IF(H123&lt;0,"Stok negatif","OK")))))</f>
        <v/>
      </c>
    </row>
    <row r="124" spans="1:11" x14ac:dyDescent="0.3">
      <c r="A124" s="9" t="str">
        <f t="shared" si="2"/>
        <v/>
      </c>
      <c r="B124" s="10"/>
      <c r="C124" s="5"/>
      <c r="D124" s="5"/>
      <c r="E124" s="11" t="str">
        <f>IF(D124="","",IFERROR(INDEX('Master Produk'!$B$2:$B$101,MATCH(D124,'Master Produk'!$A$2:$A$101,0)),"SKU tidak ada di master"))</f>
        <v/>
      </c>
      <c r="F124" s="6"/>
      <c r="G124" s="12" t="str">
        <f>IF(D124="","",IFERROR(INDEX('Master Produk'!$C$2:$C$101,MATCH(D124,'Master Produk'!$A$2:$A$101,0)),0)+SUMIFS(F$1:F123,D$1:D123,D124))</f>
        <v/>
      </c>
      <c r="H124" s="12" t="str">
        <f t="shared" si="3"/>
        <v/>
      </c>
      <c r="I124" s="5"/>
      <c r="J124" s="5"/>
      <c r="K124" s="11" t="str">
        <f>IF(D124="","",IF(ISNA(MATCH(D124,'Master Produk'!$A$2:$A$101,0)),"SKU tidak ada di master",IF(AND(C124="Stok masuk",F124&lt;0),"Stok masuk harus +",IF(AND(C124="Stok keluar",F124&gt;0),"Stok keluar harus -",IF(H124&lt;0,"Stok negatif","OK")))))</f>
        <v/>
      </c>
    </row>
    <row r="125" spans="1:11" x14ac:dyDescent="0.3">
      <c r="A125" s="9" t="str">
        <f t="shared" si="2"/>
        <v/>
      </c>
      <c r="B125" s="10"/>
      <c r="C125" s="5"/>
      <c r="D125" s="5"/>
      <c r="E125" s="11" t="str">
        <f>IF(D125="","",IFERROR(INDEX('Master Produk'!$B$2:$B$101,MATCH(D125,'Master Produk'!$A$2:$A$101,0)),"SKU tidak ada di master"))</f>
        <v/>
      </c>
      <c r="F125" s="6"/>
      <c r="G125" s="12" t="str">
        <f>IF(D125="","",IFERROR(INDEX('Master Produk'!$C$2:$C$101,MATCH(D125,'Master Produk'!$A$2:$A$101,0)),0)+SUMIFS(F$1:F124,D$1:D124,D125))</f>
        <v/>
      </c>
      <c r="H125" s="12" t="str">
        <f t="shared" si="3"/>
        <v/>
      </c>
      <c r="I125" s="5"/>
      <c r="J125" s="5"/>
      <c r="K125" s="11" t="str">
        <f>IF(D125="","",IF(ISNA(MATCH(D125,'Master Produk'!$A$2:$A$101,0)),"SKU tidak ada di master",IF(AND(C125="Stok masuk",F125&lt;0),"Stok masuk harus +",IF(AND(C125="Stok keluar",F125&gt;0),"Stok keluar harus -",IF(H125&lt;0,"Stok negatif","OK")))))</f>
        <v/>
      </c>
    </row>
    <row r="126" spans="1:11" x14ac:dyDescent="0.3">
      <c r="A126" s="9" t="str">
        <f t="shared" si="2"/>
        <v/>
      </c>
      <c r="B126" s="10"/>
      <c r="C126" s="5"/>
      <c r="D126" s="5"/>
      <c r="E126" s="11" t="str">
        <f>IF(D126="","",IFERROR(INDEX('Master Produk'!$B$2:$B$101,MATCH(D126,'Master Produk'!$A$2:$A$101,0)),"SKU tidak ada di master"))</f>
        <v/>
      </c>
      <c r="F126" s="6"/>
      <c r="G126" s="12" t="str">
        <f>IF(D126="","",IFERROR(INDEX('Master Produk'!$C$2:$C$101,MATCH(D126,'Master Produk'!$A$2:$A$101,0)),0)+SUMIFS(F$1:F125,D$1:D125,D126))</f>
        <v/>
      </c>
      <c r="H126" s="12" t="str">
        <f t="shared" si="3"/>
        <v/>
      </c>
      <c r="I126" s="5"/>
      <c r="J126" s="5"/>
      <c r="K126" s="11" t="str">
        <f>IF(D126="","",IF(ISNA(MATCH(D126,'Master Produk'!$A$2:$A$101,0)),"SKU tidak ada di master",IF(AND(C126="Stok masuk",F126&lt;0),"Stok masuk harus +",IF(AND(C126="Stok keluar",F126&gt;0),"Stok keluar harus -",IF(H126&lt;0,"Stok negatif","OK")))))</f>
        <v/>
      </c>
    </row>
    <row r="127" spans="1:11" x14ac:dyDescent="0.3">
      <c r="A127" s="9" t="str">
        <f t="shared" si="2"/>
        <v/>
      </c>
      <c r="B127" s="10"/>
      <c r="C127" s="5"/>
      <c r="D127" s="5"/>
      <c r="E127" s="11" t="str">
        <f>IF(D127="","",IFERROR(INDEX('Master Produk'!$B$2:$B$101,MATCH(D127,'Master Produk'!$A$2:$A$101,0)),"SKU tidak ada di master"))</f>
        <v/>
      </c>
      <c r="F127" s="6"/>
      <c r="G127" s="12" t="str">
        <f>IF(D127="","",IFERROR(INDEX('Master Produk'!$C$2:$C$101,MATCH(D127,'Master Produk'!$A$2:$A$101,0)),0)+SUMIFS(F$1:F126,D$1:D126,D127))</f>
        <v/>
      </c>
      <c r="H127" s="12" t="str">
        <f t="shared" si="3"/>
        <v/>
      </c>
      <c r="I127" s="5"/>
      <c r="J127" s="5"/>
      <c r="K127" s="11" t="str">
        <f>IF(D127="","",IF(ISNA(MATCH(D127,'Master Produk'!$A$2:$A$101,0)),"SKU tidak ada di master",IF(AND(C127="Stok masuk",F127&lt;0),"Stok masuk harus +",IF(AND(C127="Stok keluar",F127&gt;0),"Stok keluar harus -",IF(H127&lt;0,"Stok negatif","OK")))))</f>
        <v/>
      </c>
    </row>
    <row r="128" spans="1:11" x14ac:dyDescent="0.3">
      <c r="A128" s="9" t="str">
        <f t="shared" si="2"/>
        <v/>
      </c>
      <c r="B128" s="10"/>
      <c r="C128" s="5"/>
      <c r="D128" s="5"/>
      <c r="E128" s="11" t="str">
        <f>IF(D128="","",IFERROR(INDEX('Master Produk'!$B$2:$B$101,MATCH(D128,'Master Produk'!$A$2:$A$101,0)),"SKU tidak ada di master"))</f>
        <v/>
      </c>
      <c r="F128" s="6"/>
      <c r="G128" s="12" t="str">
        <f>IF(D128="","",IFERROR(INDEX('Master Produk'!$C$2:$C$101,MATCH(D128,'Master Produk'!$A$2:$A$101,0)),0)+SUMIFS(F$1:F127,D$1:D127,D128))</f>
        <v/>
      </c>
      <c r="H128" s="12" t="str">
        <f t="shared" si="3"/>
        <v/>
      </c>
      <c r="I128" s="5"/>
      <c r="J128" s="5"/>
      <c r="K128" s="11" t="str">
        <f>IF(D128="","",IF(ISNA(MATCH(D128,'Master Produk'!$A$2:$A$101,0)),"SKU tidak ada di master",IF(AND(C128="Stok masuk",F128&lt;0),"Stok masuk harus +",IF(AND(C128="Stok keluar",F128&gt;0),"Stok keluar harus -",IF(H128&lt;0,"Stok negatif","OK")))))</f>
        <v/>
      </c>
    </row>
    <row r="129" spans="1:11" x14ac:dyDescent="0.3">
      <c r="A129" s="9" t="str">
        <f t="shared" si="2"/>
        <v/>
      </c>
      <c r="B129" s="10"/>
      <c r="C129" s="5"/>
      <c r="D129" s="5"/>
      <c r="E129" s="11" t="str">
        <f>IF(D129="","",IFERROR(INDEX('Master Produk'!$B$2:$B$101,MATCH(D129,'Master Produk'!$A$2:$A$101,0)),"SKU tidak ada di master"))</f>
        <v/>
      </c>
      <c r="F129" s="6"/>
      <c r="G129" s="12" t="str">
        <f>IF(D129="","",IFERROR(INDEX('Master Produk'!$C$2:$C$101,MATCH(D129,'Master Produk'!$A$2:$A$101,0)),0)+SUMIFS(F$1:F128,D$1:D128,D129))</f>
        <v/>
      </c>
      <c r="H129" s="12" t="str">
        <f t="shared" si="3"/>
        <v/>
      </c>
      <c r="I129" s="5"/>
      <c r="J129" s="5"/>
      <c r="K129" s="11" t="str">
        <f>IF(D129="","",IF(ISNA(MATCH(D129,'Master Produk'!$A$2:$A$101,0)),"SKU tidak ada di master",IF(AND(C129="Stok masuk",F129&lt;0),"Stok masuk harus +",IF(AND(C129="Stok keluar",F129&gt;0),"Stok keluar harus -",IF(H129&lt;0,"Stok negatif","OK")))))</f>
        <v/>
      </c>
    </row>
    <row r="130" spans="1:11" x14ac:dyDescent="0.3">
      <c r="A130" s="9" t="str">
        <f t="shared" ref="A130:A193" si="4">IF(D130="","",ROW()-1)</f>
        <v/>
      </c>
      <c r="B130" s="10"/>
      <c r="C130" s="5"/>
      <c r="D130" s="5"/>
      <c r="E130" s="11" t="str">
        <f>IF(D130="","",IFERROR(INDEX('Master Produk'!$B$2:$B$101,MATCH(D130,'Master Produk'!$A$2:$A$101,0)),"SKU tidak ada di master"))</f>
        <v/>
      </c>
      <c r="F130" s="6"/>
      <c r="G130" s="12" t="str">
        <f>IF(D130="","",IFERROR(INDEX('Master Produk'!$C$2:$C$101,MATCH(D130,'Master Produk'!$A$2:$A$101,0)),0)+SUMIFS(F$1:F129,D$1:D129,D130))</f>
        <v/>
      </c>
      <c r="H130" s="12" t="str">
        <f t="shared" ref="H130:H193" si="5">IF(D130="","",G130+F130)</f>
        <v/>
      </c>
      <c r="I130" s="5"/>
      <c r="J130" s="5"/>
      <c r="K130" s="11" t="str">
        <f>IF(D130="","",IF(ISNA(MATCH(D130,'Master Produk'!$A$2:$A$101,0)),"SKU tidak ada di master",IF(AND(C130="Stok masuk",F130&lt;0),"Stok masuk harus +",IF(AND(C130="Stok keluar",F130&gt;0),"Stok keluar harus -",IF(H130&lt;0,"Stok negatif","OK")))))</f>
        <v/>
      </c>
    </row>
    <row r="131" spans="1:11" x14ac:dyDescent="0.3">
      <c r="A131" s="9" t="str">
        <f t="shared" si="4"/>
        <v/>
      </c>
      <c r="B131" s="10"/>
      <c r="C131" s="5"/>
      <c r="D131" s="5"/>
      <c r="E131" s="11" t="str">
        <f>IF(D131="","",IFERROR(INDEX('Master Produk'!$B$2:$B$101,MATCH(D131,'Master Produk'!$A$2:$A$101,0)),"SKU tidak ada di master"))</f>
        <v/>
      </c>
      <c r="F131" s="6"/>
      <c r="G131" s="12" t="str">
        <f>IF(D131="","",IFERROR(INDEX('Master Produk'!$C$2:$C$101,MATCH(D131,'Master Produk'!$A$2:$A$101,0)),0)+SUMIFS(F$1:F130,D$1:D130,D131))</f>
        <v/>
      </c>
      <c r="H131" s="12" t="str">
        <f t="shared" si="5"/>
        <v/>
      </c>
      <c r="I131" s="5"/>
      <c r="J131" s="5"/>
      <c r="K131" s="11" t="str">
        <f>IF(D131="","",IF(ISNA(MATCH(D131,'Master Produk'!$A$2:$A$101,0)),"SKU tidak ada di master",IF(AND(C131="Stok masuk",F131&lt;0),"Stok masuk harus +",IF(AND(C131="Stok keluar",F131&gt;0),"Stok keluar harus -",IF(H131&lt;0,"Stok negatif","OK")))))</f>
        <v/>
      </c>
    </row>
    <row r="132" spans="1:11" x14ac:dyDescent="0.3">
      <c r="A132" s="9" t="str">
        <f t="shared" si="4"/>
        <v/>
      </c>
      <c r="B132" s="10"/>
      <c r="C132" s="5"/>
      <c r="D132" s="5"/>
      <c r="E132" s="11" t="str">
        <f>IF(D132="","",IFERROR(INDEX('Master Produk'!$B$2:$B$101,MATCH(D132,'Master Produk'!$A$2:$A$101,0)),"SKU tidak ada di master"))</f>
        <v/>
      </c>
      <c r="F132" s="6"/>
      <c r="G132" s="12" t="str">
        <f>IF(D132="","",IFERROR(INDEX('Master Produk'!$C$2:$C$101,MATCH(D132,'Master Produk'!$A$2:$A$101,0)),0)+SUMIFS(F$1:F131,D$1:D131,D132))</f>
        <v/>
      </c>
      <c r="H132" s="12" t="str">
        <f t="shared" si="5"/>
        <v/>
      </c>
      <c r="I132" s="5"/>
      <c r="J132" s="5"/>
      <c r="K132" s="11" t="str">
        <f>IF(D132="","",IF(ISNA(MATCH(D132,'Master Produk'!$A$2:$A$101,0)),"SKU tidak ada di master",IF(AND(C132="Stok masuk",F132&lt;0),"Stok masuk harus +",IF(AND(C132="Stok keluar",F132&gt;0),"Stok keluar harus -",IF(H132&lt;0,"Stok negatif","OK")))))</f>
        <v/>
      </c>
    </row>
    <row r="133" spans="1:11" x14ac:dyDescent="0.3">
      <c r="A133" s="9" t="str">
        <f t="shared" si="4"/>
        <v/>
      </c>
      <c r="B133" s="10"/>
      <c r="C133" s="5"/>
      <c r="D133" s="5"/>
      <c r="E133" s="11" t="str">
        <f>IF(D133="","",IFERROR(INDEX('Master Produk'!$B$2:$B$101,MATCH(D133,'Master Produk'!$A$2:$A$101,0)),"SKU tidak ada di master"))</f>
        <v/>
      </c>
      <c r="F133" s="6"/>
      <c r="G133" s="12" t="str">
        <f>IF(D133="","",IFERROR(INDEX('Master Produk'!$C$2:$C$101,MATCH(D133,'Master Produk'!$A$2:$A$101,0)),0)+SUMIFS(F$1:F132,D$1:D132,D133))</f>
        <v/>
      </c>
      <c r="H133" s="12" t="str">
        <f t="shared" si="5"/>
        <v/>
      </c>
      <c r="I133" s="5"/>
      <c r="J133" s="5"/>
      <c r="K133" s="11" t="str">
        <f>IF(D133="","",IF(ISNA(MATCH(D133,'Master Produk'!$A$2:$A$101,0)),"SKU tidak ada di master",IF(AND(C133="Stok masuk",F133&lt;0),"Stok masuk harus +",IF(AND(C133="Stok keluar",F133&gt;0),"Stok keluar harus -",IF(H133&lt;0,"Stok negatif","OK")))))</f>
        <v/>
      </c>
    </row>
    <row r="134" spans="1:11" x14ac:dyDescent="0.3">
      <c r="A134" s="9" t="str">
        <f t="shared" si="4"/>
        <v/>
      </c>
      <c r="B134" s="10"/>
      <c r="C134" s="5"/>
      <c r="D134" s="5"/>
      <c r="E134" s="11" t="str">
        <f>IF(D134="","",IFERROR(INDEX('Master Produk'!$B$2:$B$101,MATCH(D134,'Master Produk'!$A$2:$A$101,0)),"SKU tidak ada di master"))</f>
        <v/>
      </c>
      <c r="F134" s="6"/>
      <c r="G134" s="12" t="str">
        <f>IF(D134="","",IFERROR(INDEX('Master Produk'!$C$2:$C$101,MATCH(D134,'Master Produk'!$A$2:$A$101,0)),0)+SUMIFS(F$1:F133,D$1:D133,D134))</f>
        <v/>
      </c>
      <c r="H134" s="12" t="str">
        <f t="shared" si="5"/>
        <v/>
      </c>
      <c r="I134" s="5"/>
      <c r="J134" s="5"/>
      <c r="K134" s="11" t="str">
        <f>IF(D134="","",IF(ISNA(MATCH(D134,'Master Produk'!$A$2:$A$101,0)),"SKU tidak ada di master",IF(AND(C134="Stok masuk",F134&lt;0),"Stok masuk harus +",IF(AND(C134="Stok keluar",F134&gt;0),"Stok keluar harus -",IF(H134&lt;0,"Stok negatif","OK")))))</f>
        <v/>
      </c>
    </row>
    <row r="135" spans="1:11" x14ac:dyDescent="0.3">
      <c r="A135" s="9" t="str">
        <f t="shared" si="4"/>
        <v/>
      </c>
      <c r="B135" s="10"/>
      <c r="C135" s="5"/>
      <c r="D135" s="5"/>
      <c r="E135" s="11" t="str">
        <f>IF(D135="","",IFERROR(INDEX('Master Produk'!$B$2:$B$101,MATCH(D135,'Master Produk'!$A$2:$A$101,0)),"SKU tidak ada di master"))</f>
        <v/>
      </c>
      <c r="F135" s="6"/>
      <c r="G135" s="12" t="str">
        <f>IF(D135="","",IFERROR(INDEX('Master Produk'!$C$2:$C$101,MATCH(D135,'Master Produk'!$A$2:$A$101,0)),0)+SUMIFS(F$1:F134,D$1:D134,D135))</f>
        <v/>
      </c>
      <c r="H135" s="12" t="str">
        <f t="shared" si="5"/>
        <v/>
      </c>
      <c r="I135" s="5"/>
      <c r="J135" s="5"/>
      <c r="K135" s="11" t="str">
        <f>IF(D135="","",IF(ISNA(MATCH(D135,'Master Produk'!$A$2:$A$101,0)),"SKU tidak ada di master",IF(AND(C135="Stok masuk",F135&lt;0),"Stok masuk harus +",IF(AND(C135="Stok keluar",F135&gt;0),"Stok keluar harus -",IF(H135&lt;0,"Stok negatif","OK")))))</f>
        <v/>
      </c>
    </row>
    <row r="136" spans="1:11" x14ac:dyDescent="0.3">
      <c r="A136" s="9" t="str">
        <f t="shared" si="4"/>
        <v/>
      </c>
      <c r="B136" s="10"/>
      <c r="C136" s="5"/>
      <c r="D136" s="5"/>
      <c r="E136" s="11" t="str">
        <f>IF(D136="","",IFERROR(INDEX('Master Produk'!$B$2:$B$101,MATCH(D136,'Master Produk'!$A$2:$A$101,0)),"SKU tidak ada di master"))</f>
        <v/>
      </c>
      <c r="F136" s="6"/>
      <c r="G136" s="12" t="str">
        <f>IF(D136="","",IFERROR(INDEX('Master Produk'!$C$2:$C$101,MATCH(D136,'Master Produk'!$A$2:$A$101,0)),0)+SUMIFS(F$1:F135,D$1:D135,D136))</f>
        <v/>
      </c>
      <c r="H136" s="12" t="str">
        <f t="shared" si="5"/>
        <v/>
      </c>
      <c r="I136" s="5"/>
      <c r="J136" s="5"/>
      <c r="K136" s="11" t="str">
        <f>IF(D136="","",IF(ISNA(MATCH(D136,'Master Produk'!$A$2:$A$101,0)),"SKU tidak ada di master",IF(AND(C136="Stok masuk",F136&lt;0),"Stok masuk harus +",IF(AND(C136="Stok keluar",F136&gt;0),"Stok keluar harus -",IF(H136&lt;0,"Stok negatif","OK")))))</f>
        <v/>
      </c>
    </row>
    <row r="137" spans="1:11" x14ac:dyDescent="0.3">
      <c r="A137" s="9" t="str">
        <f t="shared" si="4"/>
        <v/>
      </c>
      <c r="B137" s="10"/>
      <c r="C137" s="5"/>
      <c r="D137" s="5"/>
      <c r="E137" s="11" t="str">
        <f>IF(D137="","",IFERROR(INDEX('Master Produk'!$B$2:$B$101,MATCH(D137,'Master Produk'!$A$2:$A$101,0)),"SKU tidak ada di master"))</f>
        <v/>
      </c>
      <c r="F137" s="6"/>
      <c r="G137" s="12" t="str">
        <f>IF(D137="","",IFERROR(INDEX('Master Produk'!$C$2:$C$101,MATCH(D137,'Master Produk'!$A$2:$A$101,0)),0)+SUMIFS(F$1:F136,D$1:D136,D137))</f>
        <v/>
      </c>
      <c r="H137" s="12" t="str">
        <f t="shared" si="5"/>
        <v/>
      </c>
      <c r="I137" s="5"/>
      <c r="J137" s="5"/>
      <c r="K137" s="11" t="str">
        <f>IF(D137="","",IF(ISNA(MATCH(D137,'Master Produk'!$A$2:$A$101,0)),"SKU tidak ada di master",IF(AND(C137="Stok masuk",F137&lt;0),"Stok masuk harus +",IF(AND(C137="Stok keluar",F137&gt;0),"Stok keluar harus -",IF(H137&lt;0,"Stok negatif","OK")))))</f>
        <v/>
      </c>
    </row>
    <row r="138" spans="1:11" x14ac:dyDescent="0.3">
      <c r="A138" s="9" t="str">
        <f t="shared" si="4"/>
        <v/>
      </c>
      <c r="B138" s="10"/>
      <c r="C138" s="5"/>
      <c r="D138" s="5"/>
      <c r="E138" s="11" t="str">
        <f>IF(D138="","",IFERROR(INDEX('Master Produk'!$B$2:$B$101,MATCH(D138,'Master Produk'!$A$2:$A$101,0)),"SKU tidak ada di master"))</f>
        <v/>
      </c>
      <c r="F138" s="6"/>
      <c r="G138" s="12" t="str">
        <f>IF(D138="","",IFERROR(INDEX('Master Produk'!$C$2:$C$101,MATCH(D138,'Master Produk'!$A$2:$A$101,0)),0)+SUMIFS(F$1:F137,D$1:D137,D138))</f>
        <v/>
      </c>
      <c r="H138" s="12" t="str">
        <f t="shared" si="5"/>
        <v/>
      </c>
      <c r="I138" s="5"/>
      <c r="J138" s="5"/>
      <c r="K138" s="11" t="str">
        <f>IF(D138="","",IF(ISNA(MATCH(D138,'Master Produk'!$A$2:$A$101,0)),"SKU tidak ada di master",IF(AND(C138="Stok masuk",F138&lt;0),"Stok masuk harus +",IF(AND(C138="Stok keluar",F138&gt;0),"Stok keluar harus -",IF(H138&lt;0,"Stok negatif","OK")))))</f>
        <v/>
      </c>
    </row>
    <row r="139" spans="1:11" x14ac:dyDescent="0.3">
      <c r="A139" s="9" t="str">
        <f t="shared" si="4"/>
        <v/>
      </c>
      <c r="B139" s="10"/>
      <c r="C139" s="5"/>
      <c r="D139" s="5"/>
      <c r="E139" s="11" t="str">
        <f>IF(D139="","",IFERROR(INDEX('Master Produk'!$B$2:$B$101,MATCH(D139,'Master Produk'!$A$2:$A$101,0)),"SKU tidak ada di master"))</f>
        <v/>
      </c>
      <c r="F139" s="6"/>
      <c r="G139" s="12" t="str">
        <f>IF(D139="","",IFERROR(INDEX('Master Produk'!$C$2:$C$101,MATCH(D139,'Master Produk'!$A$2:$A$101,0)),0)+SUMIFS(F$1:F138,D$1:D138,D139))</f>
        <v/>
      </c>
      <c r="H139" s="12" t="str">
        <f t="shared" si="5"/>
        <v/>
      </c>
      <c r="I139" s="5"/>
      <c r="J139" s="5"/>
      <c r="K139" s="11" t="str">
        <f>IF(D139="","",IF(ISNA(MATCH(D139,'Master Produk'!$A$2:$A$101,0)),"SKU tidak ada di master",IF(AND(C139="Stok masuk",F139&lt;0),"Stok masuk harus +",IF(AND(C139="Stok keluar",F139&gt;0),"Stok keluar harus -",IF(H139&lt;0,"Stok negatif","OK")))))</f>
        <v/>
      </c>
    </row>
    <row r="140" spans="1:11" x14ac:dyDescent="0.3">
      <c r="A140" s="9" t="str">
        <f t="shared" si="4"/>
        <v/>
      </c>
      <c r="B140" s="10"/>
      <c r="C140" s="5"/>
      <c r="D140" s="5"/>
      <c r="E140" s="11" t="str">
        <f>IF(D140="","",IFERROR(INDEX('Master Produk'!$B$2:$B$101,MATCH(D140,'Master Produk'!$A$2:$A$101,0)),"SKU tidak ada di master"))</f>
        <v/>
      </c>
      <c r="F140" s="6"/>
      <c r="G140" s="12" t="str">
        <f>IF(D140="","",IFERROR(INDEX('Master Produk'!$C$2:$C$101,MATCH(D140,'Master Produk'!$A$2:$A$101,0)),0)+SUMIFS(F$1:F139,D$1:D139,D140))</f>
        <v/>
      </c>
      <c r="H140" s="12" t="str">
        <f t="shared" si="5"/>
        <v/>
      </c>
      <c r="I140" s="5"/>
      <c r="J140" s="5"/>
      <c r="K140" s="11" t="str">
        <f>IF(D140="","",IF(ISNA(MATCH(D140,'Master Produk'!$A$2:$A$101,0)),"SKU tidak ada di master",IF(AND(C140="Stok masuk",F140&lt;0),"Stok masuk harus +",IF(AND(C140="Stok keluar",F140&gt;0),"Stok keluar harus -",IF(H140&lt;0,"Stok negatif","OK")))))</f>
        <v/>
      </c>
    </row>
    <row r="141" spans="1:11" x14ac:dyDescent="0.3">
      <c r="A141" s="9" t="str">
        <f t="shared" si="4"/>
        <v/>
      </c>
      <c r="B141" s="10"/>
      <c r="C141" s="5"/>
      <c r="D141" s="5"/>
      <c r="E141" s="11" t="str">
        <f>IF(D141="","",IFERROR(INDEX('Master Produk'!$B$2:$B$101,MATCH(D141,'Master Produk'!$A$2:$A$101,0)),"SKU tidak ada di master"))</f>
        <v/>
      </c>
      <c r="F141" s="6"/>
      <c r="G141" s="12" t="str">
        <f>IF(D141="","",IFERROR(INDEX('Master Produk'!$C$2:$C$101,MATCH(D141,'Master Produk'!$A$2:$A$101,0)),0)+SUMIFS(F$1:F140,D$1:D140,D141))</f>
        <v/>
      </c>
      <c r="H141" s="12" t="str">
        <f t="shared" si="5"/>
        <v/>
      </c>
      <c r="I141" s="5"/>
      <c r="J141" s="5"/>
      <c r="K141" s="11" t="str">
        <f>IF(D141="","",IF(ISNA(MATCH(D141,'Master Produk'!$A$2:$A$101,0)),"SKU tidak ada di master",IF(AND(C141="Stok masuk",F141&lt;0),"Stok masuk harus +",IF(AND(C141="Stok keluar",F141&gt;0),"Stok keluar harus -",IF(H141&lt;0,"Stok negatif","OK")))))</f>
        <v/>
      </c>
    </row>
    <row r="142" spans="1:11" x14ac:dyDescent="0.3">
      <c r="A142" s="9" t="str">
        <f t="shared" si="4"/>
        <v/>
      </c>
      <c r="B142" s="10"/>
      <c r="C142" s="5"/>
      <c r="D142" s="5"/>
      <c r="E142" s="11" t="str">
        <f>IF(D142="","",IFERROR(INDEX('Master Produk'!$B$2:$B$101,MATCH(D142,'Master Produk'!$A$2:$A$101,0)),"SKU tidak ada di master"))</f>
        <v/>
      </c>
      <c r="F142" s="6"/>
      <c r="G142" s="12" t="str">
        <f>IF(D142="","",IFERROR(INDEX('Master Produk'!$C$2:$C$101,MATCH(D142,'Master Produk'!$A$2:$A$101,0)),0)+SUMIFS(F$1:F141,D$1:D141,D142))</f>
        <v/>
      </c>
      <c r="H142" s="12" t="str">
        <f t="shared" si="5"/>
        <v/>
      </c>
      <c r="I142" s="5"/>
      <c r="J142" s="5"/>
      <c r="K142" s="11" t="str">
        <f>IF(D142="","",IF(ISNA(MATCH(D142,'Master Produk'!$A$2:$A$101,0)),"SKU tidak ada di master",IF(AND(C142="Stok masuk",F142&lt;0),"Stok masuk harus +",IF(AND(C142="Stok keluar",F142&gt;0),"Stok keluar harus -",IF(H142&lt;0,"Stok negatif","OK")))))</f>
        <v/>
      </c>
    </row>
    <row r="143" spans="1:11" x14ac:dyDescent="0.3">
      <c r="A143" s="9" t="str">
        <f t="shared" si="4"/>
        <v/>
      </c>
      <c r="B143" s="10"/>
      <c r="C143" s="5"/>
      <c r="D143" s="5"/>
      <c r="E143" s="11" t="str">
        <f>IF(D143="","",IFERROR(INDEX('Master Produk'!$B$2:$B$101,MATCH(D143,'Master Produk'!$A$2:$A$101,0)),"SKU tidak ada di master"))</f>
        <v/>
      </c>
      <c r="F143" s="6"/>
      <c r="G143" s="12" t="str">
        <f>IF(D143="","",IFERROR(INDEX('Master Produk'!$C$2:$C$101,MATCH(D143,'Master Produk'!$A$2:$A$101,0)),0)+SUMIFS(F$1:F142,D$1:D142,D143))</f>
        <v/>
      </c>
      <c r="H143" s="12" t="str">
        <f t="shared" si="5"/>
        <v/>
      </c>
      <c r="I143" s="5"/>
      <c r="J143" s="5"/>
      <c r="K143" s="11" t="str">
        <f>IF(D143="","",IF(ISNA(MATCH(D143,'Master Produk'!$A$2:$A$101,0)),"SKU tidak ada di master",IF(AND(C143="Stok masuk",F143&lt;0),"Stok masuk harus +",IF(AND(C143="Stok keluar",F143&gt;0),"Stok keluar harus -",IF(H143&lt;0,"Stok negatif","OK")))))</f>
        <v/>
      </c>
    </row>
    <row r="144" spans="1:11" x14ac:dyDescent="0.3">
      <c r="A144" s="9" t="str">
        <f t="shared" si="4"/>
        <v/>
      </c>
      <c r="B144" s="10"/>
      <c r="C144" s="5"/>
      <c r="D144" s="5"/>
      <c r="E144" s="11" t="str">
        <f>IF(D144="","",IFERROR(INDEX('Master Produk'!$B$2:$B$101,MATCH(D144,'Master Produk'!$A$2:$A$101,0)),"SKU tidak ada di master"))</f>
        <v/>
      </c>
      <c r="F144" s="6"/>
      <c r="G144" s="12" t="str">
        <f>IF(D144="","",IFERROR(INDEX('Master Produk'!$C$2:$C$101,MATCH(D144,'Master Produk'!$A$2:$A$101,0)),0)+SUMIFS(F$1:F143,D$1:D143,D144))</f>
        <v/>
      </c>
      <c r="H144" s="12" t="str">
        <f t="shared" si="5"/>
        <v/>
      </c>
      <c r="I144" s="5"/>
      <c r="J144" s="5"/>
      <c r="K144" s="11" t="str">
        <f>IF(D144="","",IF(ISNA(MATCH(D144,'Master Produk'!$A$2:$A$101,0)),"SKU tidak ada di master",IF(AND(C144="Stok masuk",F144&lt;0),"Stok masuk harus +",IF(AND(C144="Stok keluar",F144&gt;0),"Stok keluar harus -",IF(H144&lt;0,"Stok negatif","OK")))))</f>
        <v/>
      </c>
    </row>
    <row r="145" spans="1:11" x14ac:dyDescent="0.3">
      <c r="A145" s="9" t="str">
        <f t="shared" si="4"/>
        <v/>
      </c>
      <c r="B145" s="10"/>
      <c r="C145" s="5"/>
      <c r="D145" s="5"/>
      <c r="E145" s="11" t="str">
        <f>IF(D145="","",IFERROR(INDEX('Master Produk'!$B$2:$B$101,MATCH(D145,'Master Produk'!$A$2:$A$101,0)),"SKU tidak ada di master"))</f>
        <v/>
      </c>
      <c r="F145" s="6"/>
      <c r="G145" s="12" t="str">
        <f>IF(D145="","",IFERROR(INDEX('Master Produk'!$C$2:$C$101,MATCH(D145,'Master Produk'!$A$2:$A$101,0)),0)+SUMIFS(F$1:F144,D$1:D144,D145))</f>
        <v/>
      </c>
      <c r="H145" s="12" t="str">
        <f t="shared" si="5"/>
        <v/>
      </c>
      <c r="I145" s="5"/>
      <c r="J145" s="5"/>
      <c r="K145" s="11" t="str">
        <f>IF(D145="","",IF(ISNA(MATCH(D145,'Master Produk'!$A$2:$A$101,0)),"SKU tidak ada di master",IF(AND(C145="Stok masuk",F145&lt;0),"Stok masuk harus +",IF(AND(C145="Stok keluar",F145&gt;0),"Stok keluar harus -",IF(H145&lt;0,"Stok negatif","OK")))))</f>
        <v/>
      </c>
    </row>
    <row r="146" spans="1:11" x14ac:dyDescent="0.3">
      <c r="A146" s="9" t="str">
        <f t="shared" si="4"/>
        <v/>
      </c>
      <c r="B146" s="10"/>
      <c r="C146" s="5"/>
      <c r="D146" s="5"/>
      <c r="E146" s="11" t="str">
        <f>IF(D146="","",IFERROR(INDEX('Master Produk'!$B$2:$B$101,MATCH(D146,'Master Produk'!$A$2:$A$101,0)),"SKU tidak ada di master"))</f>
        <v/>
      </c>
      <c r="F146" s="6"/>
      <c r="G146" s="12" t="str">
        <f>IF(D146="","",IFERROR(INDEX('Master Produk'!$C$2:$C$101,MATCH(D146,'Master Produk'!$A$2:$A$101,0)),0)+SUMIFS(F$1:F145,D$1:D145,D146))</f>
        <v/>
      </c>
      <c r="H146" s="12" t="str">
        <f t="shared" si="5"/>
        <v/>
      </c>
      <c r="I146" s="5"/>
      <c r="J146" s="5"/>
      <c r="K146" s="11" t="str">
        <f>IF(D146="","",IF(ISNA(MATCH(D146,'Master Produk'!$A$2:$A$101,0)),"SKU tidak ada di master",IF(AND(C146="Stok masuk",F146&lt;0),"Stok masuk harus +",IF(AND(C146="Stok keluar",F146&gt;0),"Stok keluar harus -",IF(H146&lt;0,"Stok negatif","OK")))))</f>
        <v/>
      </c>
    </row>
    <row r="147" spans="1:11" x14ac:dyDescent="0.3">
      <c r="A147" s="9" t="str">
        <f t="shared" si="4"/>
        <v/>
      </c>
      <c r="B147" s="10"/>
      <c r="C147" s="5"/>
      <c r="D147" s="5"/>
      <c r="E147" s="11" t="str">
        <f>IF(D147="","",IFERROR(INDEX('Master Produk'!$B$2:$B$101,MATCH(D147,'Master Produk'!$A$2:$A$101,0)),"SKU tidak ada di master"))</f>
        <v/>
      </c>
      <c r="F147" s="6"/>
      <c r="G147" s="12" t="str">
        <f>IF(D147="","",IFERROR(INDEX('Master Produk'!$C$2:$C$101,MATCH(D147,'Master Produk'!$A$2:$A$101,0)),0)+SUMIFS(F$1:F146,D$1:D146,D147))</f>
        <v/>
      </c>
      <c r="H147" s="12" t="str">
        <f t="shared" si="5"/>
        <v/>
      </c>
      <c r="I147" s="5"/>
      <c r="J147" s="5"/>
      <c r="K147" s="11" t="str">
        <f>IF(D147="","",IF(ISNA(MATCH(D147,'Master Produk'!$A$2:$A$101,0)),"SKU tidak ada di master",IF(AND(C147="Stok masuk",F147&lt;0),"Stok masuk harus +",IF(AND(C147="Stok keluar",F147&gt;0),"Stok keluar harus -",IF(H147&lt;0,"Stok negatif","OK")))))</f>
        <v/>
      </c>
    </row>
    <row r="148" spans="1:11" x14ac:dyDescent="0.3">
      <c r="A148" s="9" t="str">
        <f t="shared" si="4"/>
        <v/>
      </c>
      <c r="B148" s="10"/>
      <c r="C148" s="5"/>
      <c r="D148" s="5"/>
      <c r="E148" s="11" t="str">
        <f>IF(D148="","",IFERROR(INDEX('Master Produk'!$B$2:$B$101,MATCH(D148,'Master Produk'!$A$2:$A$101,0)),"SKU tidak ada di master"))</f>
        <v/>
      </c>
      <c r="F148" s="6"/>
      <c r="G148" s="12" t="str">
        <f>IF(D148="","",IFERROR(INDEX('Master Produk'!$C$2:$C$101,MATCH(D148,'Master Produk'!$A$2:$A$101,0)),0)+SUMIFS(F$1:F147,D$1:D147,D148))</f>
        <v/>
      </c>
      <c r="H148" s="12" t="str">
        <f t="shared" si="5"/>
        <v/>
      </c>
      <c r="I148" s="5"/>
      <c r="J148" s="5"/>
      <c r="K148" s="11" t="str">
        <f>IF(D148="","",IF(ISNA(MATCH(D148,'Master Produk'!$A$2:$A$101,0)),"SKU tidak ada di master",IF(AND(C148="Stok masuk",F148&lt;0),"Stok masuk harus +",IF(AND(C148="Stok keluar",F148&gt;0),"Stok keluar harus -",IF(H148&lt;0,"Stok negatif","OK")))))</f>
        <v/>
      </c>
    </row>
    <row r="149" spans="1:11" x14ac:dyDescent="0.3">
      <c r="A149" s="9" t="str">
        <f t="shared" si="4"/>
        <v/>
      </c>
      <c r="B149" s="10"/>
      <c r="C149" s="5"/>
      <c r="D149" s="5"/>
      <c r="E149" s="11" t="str">
        <f>IF(D149="","",IFERROR(INDEX('Master Produk'!$B$2:$B$101,MATCH(D149,'Master Produk'!$A$2:$A$101,0)),"SKU tidak ada di master"))</f>
        <v/>
      </c>
      <c r="F149" s="6"/>
      <c r="G149" s="12" t="str">
        <f>IF(D149="","",IFERROR(INDEX('Master Produk'!$C$2:$C$101,MATCH(D149,'Master Produk'!$A$2:$A$101,0)),0)+SUMIFS(F$1:F148,D$1:D148,D149))</f>
        <v/>
      </c>
      <c r="H149" s="12" t="str">
        <f t="shared" si="5"/>
        <v/>
      </c>
      <c r="I149" s="5"/>
      <c r="J149" s="5"/>
      <c r="K149" s="11" t="str">
        <f>IF(D149="","",IF(ISNA(MATCH(D149,'Master Produk'!$A$2:$A$101,0)),"SKU tidak ada di master",IF(AND(C149="Stok masuk",F149&lt;0),"Stok masuk harus +",IF(AND(C149="Stok keluar",F149&gt;0),"Stok keluar harus -",IF(H149&lt;0,"Stok negatif","OK")))))</f>
        <v/>
      </c>
    </row>
    <row r="150" spans="1:11" x14ac:dyDescent="0.3">
      <c r="A150" s="9" t="str">
        <f t="shared" si="4"/>
        <v/>
      </c>
      <c r="B150" s="10"/>
      <c r="C150" s="5"/>
      <c r="D150" s="5"/>
      <c r="E150" s="11" t="str">
        <f>IF(D150="","",IFERROR(INDEX('Master Produk'!$B$2:$B$101,MATCH(D150,'Master Produk'!$A$2:$A$101,0)),"SKU tidak ada di master"))</f>
        <v/>
      </c>
      <c r="F150" s="6"/>
      <c r="G150" s="12" t="str">
        <f>IF(D150="","",IFERROR(INDEX('Master Produk'!$C$2:$C$101,MATCH(D150,'Master Produk'!$A$2:$A$101,0)),0)+SUMIFS(F$1:F149,D$1:D149,D150))</f>
        <v/>
      </c>
      <c r="H150" s="12" t="str">
        <f t="shared" si="5"/>
        <v/>
      </c>
      <c r="I150" s="5"/>
      <c r="J150" s="5"/>
      <c r="K150" s="11" t="str">
        <f>IF(D150="","",IF(ISNA(MATCH(D150,'Master Produk'!$A$2:$A$101,0)),"SKU tidak ada di master",IF(AND(C150="Stok masuk",F150&lt;0),"Stok masuk harus +",IF(AND(C150="Stok keluar",F150&gt;0),"Stok keluar harus -",IF(H150&lt;0,"Stok negatif","OK")))))</f>
        <v/>
      </c>
    </row>
    <row r="151" spans="1:11" x14ac:dyDescent="0.3">
      <c r="A151" s="9" t="str">
        <f t="shared" si="4"/>
        <v/>
      </c>
      <c r="B151" s="10"/>
      <c r="C151" s="5"/>
      <c r="D151" s="5"/>
      <c r="E151" s="11" t="str">
        <f>IF(D151="","",IFERROR(INDEX('Master Produk'!$B$2:$B$101,MATCH(D151,'Master Produk'!$A$2:$A$101,0)),"SKU tidak ada di master"))</f>
        <v/>
      </c>
      <c r="F151" s="6"/>
      <c r="G151" s="12" t="str">
        <f>IF(D151="","",IFERROR(INDEX('Master Produk'!$C$2:$C$101,MATCH(D151,'Master Produk'!$A$2:$A$101,0)),0)+SUMIFS(F$1:F150,D$1:D150,D151))</f>
        <v/>
      </c>
      <c r="H151" s="12" t="str">
        <f t="shared" si="5"/>
        <v/>
      </c>
      <c r="I151" s="5"/>
      <c r="J151" s="5"/>
      <c r="K151" s="11" t="str">
        <f>IF(D151="","",IF(ISNA(MATCH(D151,'Master Produk'!$A$2:$A$101,0)),"SKU tidak ada di master",IF(AND(C151="Stok masuk",F151&lt;0),"Stok masuk harus +",IF(AND(C151="Stok keluar",F151&gt;0),"Stok keluar harus -",IF(H151&lt;0,"Stok negatif","OK")))))</f>
        <v/>
      </c>
    </row>
    <row r="152" spans="1:11" x14ac:dyDescent="0.3">
      <c r="A152" s="9" t="str">
        <f t="shared" si="4"/>
        <v/>
      </c>
      <c r="B152" s="10"/>
      <c r="C152" s="5"/>
      <c r="D152" s="5"/>
      <c r="E152" s="11" t="str">
        <f>IF(D152="","",IFERROR(INDEX('Master Produk'!$B$2:$B$101,MATCH(D152,'Master Produk'!$A$2:$A$101,0)),"SKU tidak ada di master"))</f>
        <v/>
      </c>
      <c r="F152" s="6"/>
      <c r="G152" s="12" t="str">
        <f>IF(D152="","",IFERROR(INDEX('Master Produk'!$C$2:$C$101,MATCH(D152,'Master Produk'!$A$2:$A$101,0)),0)+SUMIFS(F$1:F151,D$1:D151,D152))</f>
        <v/>
      </c>
      <c r="H152" s="12" t="str">
        <f t="shared" si="5"/>
        <v/>
      </c>
      <c r="I152" s="5"/>
      <c r="J152" s="5"/>
      <c r="K152" s="11" t="str">
        <f>IF(D152="","",IF(ISNA(MATCH(D152,'Master Produk'!$A$2:$A$101,0)),"SKU tidak ada di master",IF(AND(C152="Stok masuk",F152&lt;0),"Stok masuk harus +",IF(AND(C152="Stok keluar",F152&gt;0),"Stok keluar harus -",IF(H152&lt;0,"Stok negatif","OK")))))</f>
        <v/>
      </c>
    </row>
    <row r="153" spans="1:11" x14ac:dyDescent="0.3">
      <c r="A153" s="9" t="str">
        <f t="shared" si="4"/>
        <v/>
      </c>
      <c r="B153" s="10"/>
      <c r="C153" s="5"/>
      <c r="D153" s="5"/>
      <c r="E153" s="11" t="str">
        <f>IF(D153="","",IFERROR(INDEX('Master Produk'!$B$2:$B$101,MATCH(D153,'Master Produk'!$A$2:$A$101,0)),"SKU tidak ada di master"))</f>
        <v/>
      </c>
      <c r="F153" s="6"/>
      <c r="G153" s="12" t="str">
        <f>IF(D153="","",IFERROR(INDEX('Master Produk'!$C$2:$C$101,MATCH(D153,'Master Produk'!$A$2:$A$101,0)),0)+SUMIFS(F$1:F152,D$1:D152,D153))</f>
        <v/>
      </c>
      <c r="H153" s="12" t="str">
        <f t="shared" si="5"/>
        <v/>
      </c>
      <c r="I153" s="5"/>
      <c r="J153" s="5"/>
      <c r="K153" s="11" t="str">
        <f>IF(D153="","",IF(ISNA(MATCH(D153,'Master Produk'!$A$2:$A$101,0)),"SKU tidak ada di master",IF(AND(C153="Stok masuk",F153&lt;0),"Stok masuk harus +",IF(AND(C153="Stok keluar",F153&gt;0),"Stok keluar harus -",IF(H153&lt;0,"Stok negatif","OK")))))</f>
        <v/>
      </c>
    </row>
    <row r="154" spans="1:11" x14ac:dyDescent="0.3">
      <c r="A154" s="9" t="str">
        <f t="shared" si="4"/>
        <v/>
      </c>
      <c r="B154" s="10"/>
      <c r="C154" s="5"/>
      <c r="D154" s="5"/>
      <c r="E154" s="11" t="str">
        <f>IF(D154="","",IFERROR(INDEX('Master Produk'!$B$2:$B$101,MATCH(D154,'Master Produk'!$A$2:$A$101,0)),"SKU tidak ada di master"))</f>
        <v/>
      </c>
      <c r="F154" s="6"/>
      <c r="G154" s="12" t="str">
        <f>IF(D154="","",IFERROR(INDEX('Master Produk'!$C$2:$C$101,MATCH(D154,'Master Produk'!$A$2:$A$101,0)),0)+SUMIFS(F$1:F153,D$1:D153,D154))</f>
        <v/>
      </c>
      <c r="H154" s="12" t="str">
        <f t="shared" si="5"/>
        <v/>
      </c>
      <c r="I154" s="5"/>
      <c r="J154" s="5"/>
      <c r="K154" s="11" t="str">
        <f>IF(D154="","",IF(ISNA(MATCH(D154,'Master Produk'!$A$2:$A$101,0)),"SKU tidak ada di master",IF(AND(C154="Stok masuk",F154&lt;0),"Stok masuk harus +",IF(AND(C154="Stok keluar",F154&gt;0),"Stok keluar harus -",IF(H154&lt;0,"Stok negatif","OK")))))</f>
        <v/>
      </c>
    </row>
    <row r="155" spans="1:11" x14ac:dyDescent="0.3">
      <c r="A155" s="9" t="str">
        <f t="shared" si="4"/>
        <v/>
      </c>
      <c r="B155" s="10"/>
      <c r="C155" s="5"/>
      <c r="D155" s="5"/>
      <c r="E155" s="11" t="str">
        <f>IF(D155="","",IFERROR(INDEX('Master Produk'!$B$2:$B$101,MATCH(D155,'Master Produk'!$A$2:$A$101,0)),"SKU tidak ada di master"))</f>
        <v/>
      </c>
      <c r="F155" s="6"/>
      <c r="G155" s="12" t="str">
        <f>IF(D155="","",IFERROR(INDEX('Master Produk'!$C$2:$C$101,MATCH(D155,'Master Produk'!$A$2:$A$101,0)),0)+SUMIFS(F$1:F154,D$1:D154,D155))</f>
        <v/>
      </c>
      <c r="H155" s="12" t="str">
        <f t="shared" si="5"/>
        <v/>
      </c>
      <c r="I155" s="5"/>
      <c r="J155" s="5"/>
      <c r="K155" s="11" t="str">
        <f>IF(D155="","",IF(ISNA(MATCH(D155,'Master Produk'!$A$2:$A$101,0)),"SKU tidak ada di master",IF(AND(C155="Stok masuk",F155&lt;0),"Stok masuk harus +",IF(AND(C155="Stok keluar",F155&gt;0),"Stok keluar harus -",IF(H155&lt;0,"Stok negatif","OK")))))</f>
        <v/>
      </c>
    </row>
    <row r="156" spans="1:11" x14ac:dyDescent="0.3">
      <c r="A156" s="9" t="str">
        <f t="shared" si="4"/>
        <v/>
      </c>
      <c r="B156" s="10"/>
      <c r="C156" s="5"/>
      <c r="D156" s="5"/>
      <c r="E156" s="11" t="str">
        <f>IF(D156="","",IFERROR(INDEX('Master Produk'!$B$2:$B$101,MATCH(D156,'Master Produk'!$A$2:$A$101,0)),"SKU tidak ada di master"))</f>
        <v/>
      </c>
      <c r="F156" s="6"/>
      <c r="G156" s="12" t="str">
        <f>IF(D156="","",IFERROR(INDEX('Master Produk'!$C$2:$C$101,MATCH(D156,'Master Produk'!$A$2:$A$101,0)),0)+SUMIFS(F$1:F155,D$1:D155,D156))</f>
        <v/>
      </c>
      <c r="H156" s="12" t="str">
        <f t="shared" si="5"/>
        <v/>
      </c>
      <c r="I156" s="5"/>
      <c r="J156" s="5"/>
      <c r="K156" s="11" t="str">
        <f>IF(D156="","",IF(ISNA(MATCH(D156,'Master Produk'!$A$2:$A$101,0)),"SKU tidak ada di master",IF(AND(C156="Stok masuk",F156&lt;0),"Stok masuk harus +",IF(AND(C156="Stok keluar",F156&gt;0),"Stok keluar harus -",IF(H156&lt;0,"Stok negatif","OK")))))</f>
        <v/>
      </c>
    </row>
    <row r="157" spans="1:11" x14ac:dyDescent="0.3">
      <c r="A157" s="9" t="str">
        <f t="shared" si="4"/>
        <v/>
      </c>
      <c r="B157" s="10"/>
      <c r="C157" s="5"/>
      <c r="D157" s="5"/>
      <c r="E157" s="11" t="str">
        <f>IF(D157="","",IFERROR(INDEX('Master Produk'!$B$2:$B$101,MATCH(D157,'Master Produk'!$A$2:$A$101,0)),"SKU tidak ada di master"))</f>
        <v/>
      </c>
      <c r="F157" s="6"/>
      <c r="G157" s="12" t="str">
        <f>IF(D157="","",IFERROR(INDEX('Master Produk'!$C$2:$C$101,MATCH(D157,'Master Produk'!$A$2:$A$101,0)),0)+SUMIFS(F$1:F156,D$1:D156,D157))</f>
        <v/>
      </c>
      <c r="H157" s="12" t="str">
        <f t="shared" si="5"/>
        <v/>
      </c>
      <c r="I157" s="5"/>
      <c r="J157" s="5"/>
      <c r="K157" s="11" t="str">
        <f>IF(D157="","",IF(ISNA(MATCH(D157,'Master Produk'!$A$2:$A$101,0)),"SKU tidak ada di master",IF(AND(C157="Stok masuk",F157&lt;0),"Stok masuk harus +",IF(AND(C157="Stok keluar",F157&gt;0),"Stok keluar harus -",IF(H157&lt;0,"Stok negatif","OK")))))</f>
        <v/>
      </c>
    </row>
    <row r="158" spans="1:11" x14ac:dyDescent="0.3">
      <c r="A158" s="9" t="str">
        <f t="shared" si="4"/>
        <v/>
      </c>
      <c r="B158" s="10"/>
      <c r="C158" s="5"/>
      <c r="D158" s="5"/>
      <c r="E158" s="11" t="str">
        <f>IF(D158="","",IFERROR(INDEX('Master Produk'!$B$2:$B$101,MATCH(D158,'Master Produk'!$A$2:$A$101,0)),"SKU tidak ada di master"))</f>
        <v/>
      </c>
      <c r="F158" s="6"/>
      <c r="G158" s="12" t="str">
        <f>IF(D158="","",IFERROR(INDEX('Master Produk'!$C$2:$C$101,MATCH(D158,'Master Produk'!$A$2:$A$101,0)),0)+SUMIFS(F$1:F157,D$1:D157,D158))</f>
        <v/>
      </c>
      <c r="H158" s="12" t="str">
        <f t="shared" si="5"/>
        <v/>
      </c>
      <c r="I158" s="5"/>
      <c r="J158" s="5"/>
      <c r="K158" s="11" t="str">
        <f>IF(D158="","",IF(ISNA(MATCH(D158,'Master Produk'!$A$2:$A$101,0)),"SKU tidak ada di master",IF(AND(C158="Stok masuk",F158&lt;0),"Stok masuk harus +",IF(AND(C158="Stok keluar",F158&gt;0),"Stok keluar harus -",IF(H158&lt;0,"Stok negatif","OK")))))</f>
        <v/>
      </c>
    </row>
    <row r="159" spans="1:11" x14ac:dyDescent="0.3">
      <c r="A159" s="9" t="str">
        <f t="shared" si="4"/>
        <v/>
      </c>
      <c r="B159" s="10"/>
      <c r="C159" s="5"/>
      <c r="D159" s="5"/>
      <c r="E159" s="11" t="str">
        <f>IF(D159="","",IFERROR(INDEX('Master Produk'!$B$2:$B$101,MATCH(D159,'Master Produk'!$A$2:$A$101,0)),"SKU tidak ada di master"))</f>
        <v/>
      </c>
      <c r="F159" s="6"/>
      <c r="G159" s="12" t="str">
        <f>IF(D159="","",IFERROR(INDEX('Master Produk'!$C$2:$C$101,MATCH(D159,'Master Produk'!$A$2:$A$101,0)),0)+SUMIFS(F$1:F158,D$1:D158,D159))</f>
        <v/>
      </c>
      <c r="H159" s="12" t="str">
        <f t="shared" si="5"/>
        <v/>
      </c>
      <c r="I159" s="5"/>
      <c r="J159" s="5"/>
      <c r="K159" s="11" t="str">
        <f>IF(D159="","",IF(ISNA(MATCH(D159,'Master Produk'!$A$2:$A$101,0)),"SKU tidak ada di master",IF(AND(C159="Stok masuk",F159&lt;0),"Stok masuk harus +",IF(AND(C159="Stok keluar",F159&gt;0),"Stok keluar harus -",IF(H159&lt;0,"Stok negatif","OK")))))</f>
        <v/>
      </c>
    </row>
    <row r="160" spans="1:11" x14ac:dyDescent="0.3">
      <c r="A160" s="9" t="str">
        <f t="shared" si="4"/>
        <v/>
      </c>
      <c r="B160" s="10"/>
      <c r="C160" s="5"/>
      <c r="D160" s="5"/>
      <c r="E160" s="11" t="str">
        <f>IF(D160="","",IFERROR(INDEX('Master Produk'!$B$2:$B$101,MATCH(D160,'Master Produk'!$A$2:$A$101,0)),"SKU tidak ada di master"))</f>
        <v/>
      </c>
      <c r="F160" s="6"/>
      <c r="G160" s="12" t="str">
        <f>IF(D160="","",IFERROR(INDEX('Master Produk'!$C$2:$C$101,MATCH(D160,'Master Produk'!$A$2:$A$101,0)),0)+SUMIFS(F$1:F159,D$1:D159,D160))</f>
        <v/>
      </c>
      <c r="H160" s="12" t="str">
        <f t="shared" si="5"/>
        <v/>
      </c>
      <c r="I160" s="5"/>
      <c r="J160" s="5"/>
      <c r="K160" s="11" t="str">
        <f>IF(D160="","",IF(ISNA(MATCH(D160,'Master Produk'!$A$2:$A$101,0)),"SKU tidak ada di master",IF(AND(C160="Stok masuk",F160&lt;0),"Stok masuk harus +",IF(AND(C160="Stok keluar",F160&gt;0),"Stok keluar harus -",IF(H160&lt;0,"Stok negatif","OK")))))</f>
        <v/>
      </c>
    </row>
    <row r="161" spans="1:11" x14ac:dyDescent="0.3">
      <c r="A161" s="9" t="str">
        <f t="shared" si="4"/>
        <v/>
      </c>
      <c r="B161" s="10"/>
      <c r="C161" s="5"/>
      <c r="D161" s="5"/>
      <c r="E161" s="11" t="str">
        <f>IF(D161="","",IFERROR(INDEX('Master Produk'!$B$2:$B$101,MATCH(D161,'Master Produk'!$A$2:$A$101,0)),"SKU tidak ada di master"))</f>
        <v/>
      </c>
      <c r="F161" s="6"/>
      <c r="G161" s="12" t="str">
        <f>IF(D161="","",IFERROR(INDEX('Master Produk'!$C$2:$C$101,MATCH(D161,'Master Produk'!$A$2:$A$101,0)),0)+SUMIFS(F$1:F160,D$1:D160,D161))</f>
        <v/>
      </c>
      <c r="H161" s="12" t="str">
        <f t="shared" si="5"/>
        <v/>
      </c>
      <c r="I161" s="5"/>
      <c r="J161" s="5"/>
      <c r="K161" s="11" t="str">
        <f>IF(D161="","",IF(ISNA(MATCH(D161,'Master Produk'!$A$2:$A$101,0)),"SKU tidak ada di master",IF(AND(C161="Stok masuk",F161&lt;0),"Stok masuk harus +",IF(AND(C161="Stok keluar",F161&gt;0),"Stok keluar harus -",IF(H161&lt;0,"Stok negatif","OK")))))</f>
        <v/>
      </c>
    </row>
    <row r="162" spans="1:11" x14ac:dyDescent="0.3">
      <c r="A162" s="9" t="str">
        <f t="shared" si="4"/>
        <v/>
      </c>
      <c r="B162" s="10"/>
      <c r="C162" s="5"/>
      <c r="D162" s="5"/>
      <c r="E162" s="11" t="str">
        <f>IF(D162="","",IFERROR(INDEX('Master Produk'!$B$2:$B$101,MATCH(D162,'Master Produk'!$A$2:$A$101,0)),"SKU tidak ada di master"))</f>
        <v/>
      </c>
      <c r="F162" s="6"/>
      <c r="G162" s="12" t="str">
        <f>IF(D162="","",IFERROR(INDEX('Master Produk'!$C$2:$C$101,MATCH(D162,'Master Produk'!$A$2:$A$101,0)),0)+SUMIFS(F$1:F161,D$1:D161,D162))</f>
        <v/>
      </c>
      <c r="H162" s="12" t="str">
        <f t="shared" si="5"/>
        <v/>
      </c>
      <c r="I162" s="5"/>
      <c r="J162" s="5"/>
      <c r="K162" s="11" t="str">
        <f>IF(D162="","",IF(ISNA(MATCH(D162,'Master Produk'!$A$2:$A$101,0)),"SKU tidak ada di master",IF(AND(C162="Stok masuk",F162&lt;0),"Stok masuk harus +",IF(AND(C162="Stok keluar",F162&gt;0),"Stok keluar harus -",IF(H162&lt;0,"Stok negatif","OK")))))</f>
        <v/>
      </c>
    </row>
    <row r="163" spans="1:11" x14ac:dyDescent="0.3">
      <c r="A163" s="9" t="str">
        <f t="shared" si="4"/>
        <v/>
      </c>
      <c r="B163" s="10"/>
      <c r="C163" s="5"/>
      <c r="D163" s="5"/>
      <c r="E163" s="11" t="str">
        <f>IF(D163="","",IFERROR(INDEX('Master Produk'!$B$2:$B$101,MATCH(D163,'Master Produk'!$A$2:$A$101,0)),"SKU tidak ada di master"))</f>
        <v/>
      </c>
      <c r="F163" s="6"/>
      <c r="G163" s="12" t="str">
        <f>IF(D163="","",IFERROR(INDEX('Master Produk'!$C$2:$C$101,MATCH(D163,'Master Produk'!$A$2:$A$101,0)),0)+SUMIFS(F$1:F162,D$1:D162,D163))</f>
        <v/>
      </c>
      <c r="H163" s="12" t="str">
        <f t="shared" si="5"/>
        <v/>
      </c>
      <c r="I163" s="5"/>
      <c r="J163" s="5"/>
      <c r="K163" s="11" t="str">
        <f>IF(D163="","",IF(ISNA(MATCH(D163,'Master Produk'!$A$2:$A$101,0)),"SKU tidak ada di master",IF(AND(C163="Stok masuk",F163&lt;0),"Stok masuk harus +",IF(AND(C163="Stok keluar",F163&gt;0),"Stok keluar harus -",IF(H163&lt;0,"Stok negatif","OK")))))</f>
        <v/>
      </c>
    </row>
    <row r="164" spans="1:11" x14ac:dyDescent="0.3">
      <c r="A164" s="9" t="str">
        <f t="shared" si="4"/>
        <v/>
      </c>
      <c r="B164" s="10"/>
      <c r="C164" s="5"/>
      <c r="D164" s="5"/>
      <c r="E164" s="11" t="str">
        <f>IF(D164="","",IFERROR(INDEX('Master Produk'!$B$2:$B$101,MATCH(D164,'Master Produk'!$A$2:$A$101,0)),"SKU tidak ada di master"))</f>
        <v/>
      </c>
      <c r="F164" s="6"/>
      <c r="G164" s="12" t="str">
        <f>IF(D164="","",IFERROR(INDEX('Master Produk'!$C$2:$C$101,MATCH(D164,'Master Produk'!$A$2:$A$101,0)),0)+SUMIFS(F$1:F163,D$1:D163,D164))</f>
        <v/>
      </c>
      <c r="H164" s="12" t="str">
        <f t="shared" si="5"/>
        <v/>
      </c>
      <c r="I164" s="5"/>
      <c r="J164" s="5"/>
      <c r="K164" s="11" t="str">
        <f>IF(D164="","",IF(ISNA(MATCH(D164,'Master Produk'!$A$2:$A$101,0)),"SKU tidak ada di master",IF(AND(C164="Stok masuk",F164&lt;0),"Stok masuk harus +",IF(AND(C164="Stok keluar",F164&gt;0),"Stok keluar harus -",IF(H164&lt;0,"Stok negatif","OK")))))</f>
        <v/>
      </c>
    </row>
    <row r="165" spans="1:11" x14ac:dyDescent="0.3">
      <c r="A165" s="9" t="str">
        <f t="shared" si="4"/>
        <v/>
      </c>
      <c r="B165" s="10"/>
      <c r="C165" s="5"/>
      <c r="D165" s="5"/>
      <c r="E165" s="11" t="str">
        <f>IF(D165="","",IFERROR(INDEX('Master Produk'!$B$2:$B$101,MATCH(D165,'Master Produk'!$A$2:$A$101,0)),"SKU tidak ada di master"))</f>
        <v/>
      </c>
      <c r="F165" s="6"/>
      <c r="G165" s="12" t="str">
        <f>IF(D165="","",IFERROR(INDEX('Master Produk'!$C$2:$C$101,MATCH(D165,'Master Produk'!$A$2:$A$101,0)),0)+SUMIFS(F$1:F164,D$1:D164,D165))</f>
        <v/>
      </c>
      <c r="H165" s="12" t="str">
        <f t="shared" si="5"/>
        <v/>
      </c>
      <c r="I165" s="5"/>
      <c r="J165" s="5"/>
      <c r="K165" s="11" t="str">
        <f>IF(D165="","",IF(ISNA(MATCH(D165,'Master Produk'!$A$2:$A$101,0)),"SKU tidak ada di master",IF(AND(C165="Stok masuk",F165&lt;0),"Stok masuk harus +",IF(AND(C165="Stok keluar",F165&gt;0),"Stok keluar harus -",IF(H165&lt;0,"Stok negatif","OK")))))</f>
        <v/>
      </c>
    </row>
    <row r="166" spans="1:11" x14ac:dyDescent="0.3">
      <c r="A166" s="9" t="str">
        <f t="shared" si="4"/>
        <v/>
      </c>
      <c r="B166" s="10"/>
      <c r="C166" s="5"/>
      <c r="D166" s="5"/>
      <c r="E166" s="11" t="str">
        <f>IF(D166="","",IFERROR(INDEX('Master Produk'!$B$2:$B$101,MATCH(D166,'Master Produk'!$A$2:$A$101,0)),"SKU tidak ada di master"))</f>
        <v/>
      </c>
      <c r="F166" s="6"/>
      <c r="G166" s="12" t="str">
        <f>IF(D166="","",IFERROR(INDEX('Master Produk'!$C$2:$C$101,MATCH(D166,'Master Produk'!$A$2:$A$101,0)),0)+SUMIFS(F$1:F165,D$1:D165,D166))</f>
        <v/>
      </c>
      <c r="H166" s="12" t="str">
        <f t="shared" si="5"/>
        <v/>
      </c>
      <c r="I166" s="5"/>
      <c r="J166" s="5"/>
      <c r="K166" s="11" t="str">
        <f>IF(D166="","",IF(ISNA(MATCH(D166,'Master Produk'!$A$2:$A$101,0)),"SKU tidak ada di master",IF(AND(C166="Stok masuk",F166&lt;0),"Stok masuk harus +",IF(AND(C166="Stok keluar",F166&gt;0),"Stok keluar harus -",IF(H166&lt;0,"Stok negatif","OK")))))</f>
        <v/>
      </c>
    </row>
    <row r="167" spans="1:11" x14ac:dyDescent="0.3">
      <c r="A167" s="9" t="str">
        <f t="shared" si="4"/>
        <v/>
      </c>
      <c r="B167" s="10"/>
      <c r="C167" s="5"/>
      <c r="D167" s="5"/>
      <c r="E167" s="11" t="str">
        <f>IF(D167="","",IFERROR(INDEX('Master Produk'!$B$2:$B$101,MATCH(D167,'Master Produk'!$A$2:$A$101,0)),"SKU tidak ada di master"))</f>
        <v/>
      </c>
      <c r="F167" s="6"/>
      <c r="G167" s="12" t="str">
        <f>IF(D167="","",IFERROR(INDEX('Master Produk'!$C$2:$C$101,MATCH(D167,'Master Produk'!$A$2:$A$101,0)),0)+SUMIFS(F$1:F166,D$1:D166,D167))</f>
        <v/>
      </c>
      <c r="H167" s="12" t="str">
        <f t="shared" si="5"/>
        <v/>
      </c>
      <c r="I167" s="5"/>
      <c r="J167" s="5"/>
      <c r="K167" s="11" t="str">
        <f>IF(D167="","",IF(ISNA(MATCH(D167,'Master Produk'!$A$2:$A$101,0)),"SKU tidak ada di master",IF(AND(C167="Stok masuk",F167&lt;0),"Stok masuk harus +",IF(AND(C167="Stok keluar",F167&gt;0),"Stok keluar harus -",IF(H167&lt;0,"Stok negatif","OK")))))</f>
        <v/>
      </c>
    </row>
    <row r="168" spans="1:11" x14ac:dyDescent="0.3">
      <c r="A168" s="9" t="str">
        <f t="shared" si="4"/>
        <v/>
      </c>
      <c r="B168" s="10"/>
      <c r="C168" s="5"/>
      <c r="D168" s="5"/>
      <c r="E168" s="11" t="str">
        <f>IF(D168="","",IFERROR(INDEX('Master Produk'!$B$2:$B$101,MATCH(D168,'Master Produk'!$A$2:$A$101,0)),"SKU tidak ada di master"))</f>
        <v/>
      </c>
      <c r="F168" s="6"/>
      <c r="G168" s="12" t="str">
        <f>IF(D168="","",IFERROR(INDEX('Master Produk'!$C$2:$C$101,MATCH(D168,'Master Produk'!$A$2:$A$101,0)),0)+SUMIFS(F$1:F167,D$1:D167,D168))</f>
        <v/>
      </c>
      <c r="H168" s="12" t="str">
        <f t="shared" si="5"/>
        <v/>
      </c>
      <c r="I168" s="5"/>
      <c r="J168" s="5"/>
      <c r="K168" s="11" t="str">
        <f>IF(D168="","",IF(ISNA(MATCH(D168,'Master Produk'!$A$2:$A$101,0)),"SKU tidak ada di master",IF(AND(C168="Stok masuk",F168&lt;0),"Stok masuk harus +",IF(AND(C168="Stok keluar",F168&gt;0),"Stok keluar harus -",IF(H168&lt;0,"Stok negatif","OK")))))</f>
        <v/>
      </c>
    </row>
    <row r="169" spans="1:11" x14ac:dyDescent="0.3">
      <c r="A169" s="9" t="str">
        <f t="shared" si="4"/>
        <v/>
      </c>
      <c r="B169" s="10"/>
      <c r="C169" s="5"/>
      <c r="D169" s="5"/>
      <c r="E169" s="11" t="str">
        <f>IF(D169="","",IFERROR(INDEX('Master Produk'!$B$2:$B$101,MATCH(D169,'Master Produk'!$A$2:$A$101,0)),"SKU tidak ada di master"))</f>
        <v/>
      </c>
      <c r="F169" s="6"/>
      <c r="G169" s="12" t="str">
        <f>IF(D169="","",IFERROR(INDEX('Master Produk'!$C$2:$C$101,MATCH(D169,'Master Produk'!$A$2:$A$101,0)),0)+SUMIFS(F$1:F168,D$1:D168,D169))</f>
        <v/>
      </c>
      <c r="H169" s="12" t="str">
        <f t="shared" si="5"/>
        <v/>
      </c>
      <c r="I169" s="5"/>
      <c r="J169" s="5"/>
      <c r="K169" s="11" t="str">
        <f>IF(D169="","",IF(ISNA(MATCH(D169,'Master Produk'!$A$2:$A$101,0)),"SKU tidak ada di master",IF(AND(C169="Stok masuk",F169&lt;0),"Stok masuk harus +",IF(AND(C169="Stok keluar",F169&gt;0),"Stok keluar harus -",IF(H169&lt;0,"Stok negatif","OK")))))</f>
        <v/>
      </c>
    </row>
    <row r="170" spans="1:11" x14ac:dyDescent="0.3">
      <c r="A170" s="9" t="str">
        <f t="shared" si="4"/>
        <v/>
      </c>
      <c r="B170" s="10"/>
      <c r="C170" s="5"/>
      <c r="D170" s="5"/>
      <c r="E170" s="11" t="str">
        <f>IF(D170="","",IFERROR(INDEX('Master Produk'!$B$2:$B$101,MATCH(D170,'Master Produk'!$A$2:$A$101,0)),"SKU tidak ada di master"))</f>
        <v/>
      </c>
      <c r="F170" s="6"/>
      <c r="G170" s="12" t="str">
        <f>IF(D170="","",IFERROR(INDEX('Master Produk'!$C$2:$C$101,MATCH(D170,'Master Produk'!$A$2:$A$101,0)),0)+SUMIFS(F$1:F169,D$1:D169,D170))</f>
        <v/>
      </c>
      <c r="H170" s="12" t="str">
        <f t="shared" si="5"/>
        <v/>
      </c>
      <c r="I170" s="5"/>
      <c r="J170" s="5"/>
      <c r="K170" s="11" t="str">
        <f>IF(D170="","",IF(ISNA(MATCH(D170,'Master Produk'!$A$2:$A$101,0)),"SKU tidak ada di master",IF(AND(C170="Stok masuk",F170&lt;0),"Stok masuk harus +",IF(AND(C170="Stok keluar",F170&gt;0),"Stok keluar harus -",IF(H170&lt;0,"Stok negatif","OK")))))</f>
        <v/>
      </c>
    </row>
    <row r="171" spans="1:11" x14ac:dyDescent="0.3">
      <c r="A171" s="9" t="str">
        <f t="shared" si="4"/>
        <v/>
      </c>
      <c r="B171" s="10"/>
      <c r="C171" s="5"/>
      <c r="D171" s="5"/>
      <c r="E171" s="11" t="str">
        <f>IF(D171="","",IFERROR(INDEX('Master Produk'!$B$2:$B$101,MATCH(D171,'Master Produk'!$A$2:$A$101,0)),"SKU tidak ada di master"))</f>
        <v/>
      </c>
      <c r="F171" s="6"/>
      <c r="G171" s="12" t="str">
        <f>IF(D171="","",IFERROR(INDEX('Master Produk'!$C$2:$C$101,MATCH(D171,'Master Produk'!$A$2:$A$101,0)),0)+SUMIFS(F$1:F170,D$1:D170,D171))</f>
        <v/>
      </c>
      <c r="H171" s="12" t="str">
        <f t="shared" si="5"/>
        <v/>
      </c>
      <c r="I171" s="5"/>
      <c r="J171" s="5"/>
      <c r="K171" s="11" t="str">
        <f>IF(D171="","",IF(ISNA(MATCH(D171,'Master Produk'!$A$2:$A$101,0)),"SKU tidak ada di master",IF(AND(C171="Stok masuk",F171&lt;0),"Stok masuk harus +",IF(AND(C171="Stok keluar",F171&gt;0),"Stok keluar harus -",IF(H171&lt;0,"Stok negatif","OK")))))</f>
        <v/>
      </c>
    </row>
    <row r="172" spans="1:11" x14ac:dyDescent="0.3">
      <c r="A172" s="9" t="str">
        <f t="shared" si="4"/>
        <v/>
      </c>
      <c r="B172" s="10"/>
      <c r="C172" s="5"/>
      <c r="D172" s="5"/>
      <c r="E172" s="11" t="str">
        <f>IF(D172="","",IFERROR(INDEX('Master Produk'!$B$2:$B$101,MATCH(D172,'Master Produk'!$A$2:$A$101,0)),"SKU tidak ada di master"))</f>
        <v/>
      </c>
      <c r="F172" s="6"/>
      <c r="G172" s="12" t="str">
        <f>IF(D172="","",IFERROR(INDEX('Master Produk'!$C$2:$C$101,MATCH(D172,'Master Produk'!$A$2:$A$101,0)),0)+SUMIFS(F$1:F171,D$1:D171,D172))</f>
        <v/>
      </c>
      <c r="H172" s="12" t="str">
        <f t="shared" si="5"/>
        <v/>
      </c>
      <c r="I172" s="5"/>
      <c r="J172" s="5"/>
      <c r="K172" s="11" t="str">
        <f>IF(D172="","",IF(ISNA(MATCH(D172,'Master Produk'!$A$2:$A$101,0)),"SKU tidak ada di master",IF(AND(C172="Stok masuk",F172&lt;0),"Stok masuk harus +",IF(AND(C172="Stok keluar",F172&gt;0),"Stok keluar harus -",IF(H172&lt;0,"Stok negatif","OK")))))</f>
        <v/>
      </c>
    </row>
    <row r="173" spans="1:11" x14ac:dyDescent="0.3">
      <c r="A173" s="9" t="str">
        <f t="shared" si="4"/>
        <v/>
      </c>
      <c r="B173" s="10"/>
      <c r="C173" s="5"/>
      <c r="D173" s="5"/>
      <c r="E173" s="11" t="str">
        <f>IF(D173="","",IFERROR(INDEX('Master Produk'!$B$2:$B$101,MATCH(D173,'Master Produk'!$A$2:$A$101,0)),"SKU tidak ada di master"))</f>
        <v/>
      </c>
      <c r="F173" s="6"/>
      <c r="G173" s="12" t="str">
        <f>IF(D173="","",IFERROR(INDEX('Master Produk'!$C$2:$C$101,MATCH(D173,'Master Produk'!$A$2:$A$101,0)),0)+SUMIFS(F$1:F172,D$1:D172,D173))</f>
        <v/>
      </c>
      <c r="H173" s="12" t="str">
        <f t="shared" si="5"/>
        <v/>
      </c>
      <c r="I173" s="5"/>
      <c r="J173" s="5"/>
      <c r="K173" s="11" t="str">
        <f>IF(D173="","",IF(ISNA(MATCH(D173,'Master Produk'!$A$2:$A$101,0)),"SKU tidak ada di master",IF(AND(C173="Stok masuk",F173&lt;0),"Stok masuk harus +",IF(AND(C173="Stok keluar",F173&gt;0),"Stok keluar harus -",IF(H173&lt;0,"Stok negatif","OK")))))</f>
        <v/>
      </c>
    </row>
    <row r="174" spans="1:11" x14ac:dyDescent="0.3">
      <c r="A174" s="9" t="str">
        <f t="shared" si="4"/>
        <v/>
      </c>
      <c r="B174" s="10"/>
      <c r="C174" s="5"/>
      <c r="D174" s="5"/>
      <c r="E174" s="11" t="str">
        <f>IF(D174="","",IFERROR(INDEX('Master Produk'!$B$2:$B$101,MATCH(D174,'Master Produk'!$A$2:$A$101,0)),"SKU tidak ada di master"))</f>
        <v/>
      </c>
      <c r="F174" s="6"/>
      <c r="G174" s="12" t="str">
        <f>IF(D174="","",IFERROR(INDEX('Master Produk'!$C$2:$C$101,MATCH(D174,'Master Produk'!$A$2:$A$101,0)),0)+SUMIFS(F$1:F173,D$1:D173,D174))</f>
        <v/>
      </c>
      <c r="H174" s="12" t="str">
        <f t="shared" si="5"/>
        <v/>
      </c>
      <c r="I174" s="5"/>
      <c r="J174" s="5"/>
      <c r="K174" s="11" t="str">
        <f>IF(D174="","",IF(ISNA(MATCH(D174,'Master Produk'!$A$2:$A$101,0)),"SKU tidak ada di master",IF(AND(C174="Stok masuk",F174&lt;0),"Stok masuk harus +",IF(AND(C174="Stok keluar",F174&gt;0),"Stok keluar harus -",IF(H174&lt;0,"Stok negatif","OK")))))</f>
        <v/>
      </c>
    </row>
    <row r="175" spans="1:11" x14ac:dyDescent="0.3">
      <c r="A175" s="9" t="str">
        <f t="shared" si="4"/>
        <v/>
      </c>
      <c r="B175" s="10"/>
      <c r="C175" s="5"/>
      <c r="D175" s="5"/>
      <c r="E175" s="11" t="str">
        <f>IF(D175="","",IFERROR(INDEX('Master Produk'!$B$2:$B$101,MATCH(D175,'Master Produk'!$A$2:$A$101,0)),"SKU tidak ada di master"))</f>
        <v/>
      </c>
      <c r="F175" s="6"/>
      <c r="G175" s="12" t="str">
        <f>IF(D175="","",IFERROR(INDEX('Master Produk'!$C$2:$C$101,MATCH(D175,'Master Produk'!$A$2:$A$101,0)),0)+SUMIFS(F$1:F174,D$1:D174,D175))</f>
        <v/>
      </c>
      <c r="H175" s="12" t="str">
        <f t="shared" si="5"/>
        <v/>
      </c>
      <c r="I175" s="5"/>
      <c r="J175" s="5"/>
      <c r="K175" s="11" t="str">
        <f>IF(D175="","",IF(ISNA(MATCH(D175,'Master Produk'!$A$2:$A$101,0)),"SKU tidak ada di master",IF(AND(C175="Stok masuk",F175&lt;0),"Stok masuk harus +",IF(AND(C175="Stok keluar",F175&gt;0),"Stok keluar harus -",IF(H175&lt;0,"Stok negatif","OK")))))</f>
        <v/>
      </c>
    </row>
    <row r="176" spans="1:11" x14ac:dyDescent="0.3">
      <c r="A176" s="9" t="str">
        <f t="shared" si="4"/>
        <v/>
      </c>
      <c r="B176" s="10"/>
      <c r="C176" s="5"/>
      <c r="D176" s="5"/>
      <c r="E176" s="11" t="str">
        <f>IF(D176="","",IFERROR(INDEX('Master Produk'!$B$2:$B$101,MATCH(D176,'Master Produk'!$A$2:$A$101,0)),"SKU tidak ada di master"))</f>
        <v/>
      </c>
      <c r="F176" s="6"/>
      <c r="G176" s="12" t="str">
        <f>IF(D176="","",IFERROR(INDEX('Master Produk'!$C$2:$C$101,MATCH(D176,'Master Produk'!$A$2:$A$101,0)),0)+SUMIFS(F$1:F175,D$1:D175,D176))</f>
        <v/>
      </c>
      <c r="H176" s="12" t="str">
        <f t="shared" si="5"/>
        <v/>
      </c>
      <c r="I176" s="5"/>
      <c r="J176" s="5"/>
      <c r="K176" s="11" t="str">
        <f>IF(D176="","",IF(ISNA(MATCH(D176,'Master Produk'!$A$2:$A$101,0)),"SKU tidak ada di master",IF(AND(C176="Stok masuk",F176&lt;0),"Stok masuk harus +",IF(AND(C176="Stok keluar",F176&gt;0),"Stok keluar harus -",IF(H176&lt;0,"Stok negatif","OK")))))</f>
        <v/>
      </c>
    </row>
    <row r="177" spans="1:11" x14ac:dyDescent="0.3">
      <c r="A177" s="9" t="str">
        <f t="shared" si="4"/>
        <v/>
      </c>
      <c r="B177" s="10"/>
      <c r="C177" s="5"/>
      <c r="D177" s="5"/>
      <c r="E177" s="11" t="str">
        <f>IF(D177="","",IFERROR(INDEX('Master Produk'!$B$2:$B$101,MATCH(D177,'Master Produk'!$A$2:$A$101,0)),"SKU tidak ada di master"))</f>
        <v/>
      </c>
      <c r="F177" s="6"/>
      <c r="G177" s="12" t="str">
        <f>IF(D177="","",IFERROR(INDEX('Master Produk'!$C$2:$C$101,MATCH(D177,'Master Produk'!$A$2:$A$101,0)),0)+SUMIFS(F$1:F176,D$1:D176,D177))</f>
        <v/>
      </c>
      <c r="H177" s="12" t="str">
        <f t="shared" si="5"/>
        <v/>
      </c>
      <c r="I177" s="5"/>
      <c r="J177" s="5"/>
      <c r="K177" s="11" t="str">
        <f>IF(D177="","",IF(ISNA(MATCH(D177,'Master Produk'!$A$2:$A$101,0)),"SKU tidak ada di master",IF(AND(C177="Stok masuk",F177&lt;0),"Stok masuk harus +",IF(AND(C177="Stok keluar",F177&gt;0),"Stok keluar harus -",IF(H177&lt;0,"Stok negatif","OK")))))</f>
        <v/>
      </c>
    </row>
    <row r="178" spans="1:11" x14ac:dyDescent="0.3">
      <c r="A178" s="9" t="str">
        <f t="shared" si="4"/>
        <v/>
      </c>
      <c r="B178" s="10"/>
      <c r="C178" s="5"/>
      <c r="D178" s="5"/>
      <c r="E178" s="11" t="str">
        <f>IF(D178="","",IFERROR(INDEX('Master Produk'!$B$2:$B$101,MATCH(D178,'Master Produk'!$A$2:$A$101,0)),"SKU tidak ada di master"))</f>
        <v/>
      </c>
      <c r="F178" s="6"/>
      <c r="G178" s="12" t="str">
        <f>IF(D178="","",IFERROR(INDEX('Master Produk'!$C$2:$C$101,MATCH(D178,'Master Produk'!$A$2:$A$101,0)),0)+SUMIFS(F$1:F177,D$1:D177,D178))</f>
        <v/>
      </c>
      <c r="H178" s="12" t="str">
        <f t="shared" si="5"/>
        <v/>
      </c>
      <c r="I178" s="5"/>
      <c r="J178" s="5"/>
      <c r="K178" s="11" t="str">
        <f>IF(D178="","",IF(ISNA(MATCH(D178,'Master Produk'!$A$2:$A$101,0)),"SKU tidak ada di master",IF(AND(C178="Stok masuk",F178&lt;0),"Stok masuk harus +",IF(AND(C178="Stok keluar",F178&gt;0),"Stok keluar harus -",IF(H178&lt;0,"Stok negatif","OK")))))</f>
        <v/>
      </c>
    </row>
    <row r="179" spans="1:11" x14ac:dyDescent="0.3">
      <c r="A179" s="9" t="str">
        <f t="shared" si="4"/>
        <v/>
      </c>
      <c r="B179" s="10"/>
      <c r="C179" s="5"/>
      <c r="D179" s="5"/>
      <c r="E179" s="11" t="str">
        <f>IF(D179="","",IFERROR(INDEX('Master Produk'!$B$2:$B$101,MATCH(D179,'Master Produk'!$A$2:$A$101,0)),"SKU tidak ada di master"))</f>
        <v/>
      </c>
      <c r="F179" s="6"/>
      <c r="G179" s="12" t="str">
        <f>IF(D179="","",IFERROR(INDEX('Master Produk'!$C$2:$C$101,MATCH(D179,'Master Produk'!$A$2:$A$101,0)),0)+SUMIFS(F$1:F178,D$1:D178,D179))</f>
        <v/>
      </c>
      <c r="H179" s="12" t="str">
        <f t="shared" si="5"/>
        <v/>
      </c>
      <c r="I179" s="5"/>
      <c r="J179" s="5"/>
      <c r="K179" s="11" t="str">
        <f>IF(D179="","",IF(ISNA(MATCH(D179,'Master Produk'!$A$2:$A$101,0)),"SKU tidak ada di master",IF(AND(C179="Stok masuk",F179&lt;0),"Stok masuk harus +",IF(AND(C179="Stok keluar",F179&gt;0),"Stok keluar harus -",IF(H179&lt;0,"Stok negatif","OK")))))</f>
        <v/>
      </c>
    </row>
    <row r="180" spans="1:11" x14ac:dyDescent="0.3">
      <c r="A180" s="9" t="str">
        <f t="shared" si="4"/>
        <v/>
      </c>
      <c r="B180" s="10"/>
      <c r="C180" s="5"/>
      <c r="D180" s="5"/>
      <c r="E180" s="11" t="str">
        <f>IF(D180="","",IFERROR(INDEX('Master Produk'!$B$2:$B$101,MATCH(D180,'Master Produk'!$A$2:$A$101,0)),"SKU tidak ada di master"))</f>
        <v/>
      </c>
      <c r="F180" s="6"/>
      <c r="G180" s="12" t="str">
        <f>IF(D180="","",IFERROR(INDEX('Master Produk'!$C$2:$C$101,MATCH(D180,'Master Produk'!$A$2:$A$101,0)),0)+SUMIFS(F$1:F179,D$1:D179,D180))</f>
        <v/>
      </c>
      <c r="H180" s="12" t="str">
        <f t="shared" si="5"/>
        <v/>
      </c>
      <c r="I180" s="5"/>
      <c r="J180" s="5"/>
      <c r="K180" s="11" t="str">
        <f>IF(D180="","",IF(ISNA(MATCH(D180,'Master Produk'!$A$2:$A$101,0)),"SKU tidak ada di master",IF(AND(C180="Stok masuk",F180&lt;0),"Stok masuk harus +",IF(AND(C180="Stok keluar",F180&gt;0),"Stok keluar harus -",IF(H180&lt;0,"Stok negatif","OK")))))</f>
        <v/>
      </c>
    </row>
    <row r="181" spans="1:11" x14ac:dyDescent="0.3">
      <c r="A181" s="9" t="str">
        <f t="shared" si="4"/>
        <v/>
      </c>
      <c r="B181" s="10"/>
      <c r="C181" s="5"/>
      <c r="D181" s="5"/>
      <c r="E181" s="11" t="str">
        <f>IF(D181="","",IFERROR(INDEX('Master Produk'!$B$2:$B$101,MATCH(D181,'Master Produk'!$A$2:$A$101,0)),"SKU tidak ada di master"))</f>
        <v/>
      </c>
      <c r="F181" s="6"/>
      <c r="G181" s="12" t="str">
        <f>IF(D181="","",IFERROR(INDEX('Master Produk'!$C$2:$C$101,MATCH(D181,'Master Produk'!$A$2:$A$101,0)),0)+SUMIFS(F$1:F180,D$1:D180,D181))</f>
        <v/>
      </c>
      <c r="H181" s="12" t="str">
        <f t="shared" si="5"/>
        <v/>
      </c>
      <c r="I181" s="5"/>
      <c r="J181" s="5"/>
      <c r="K181" s="11" t="str">
        <f>IF(D181="","",IF(ISNA(MATCH(D181,'Master Produk'!$A$2:$A$101,0)),"SKU tidak ada di master",IF(AND(C181="Stok masuk",F181&lt;0),"Stok masuk harus +",IF(AND(C181="Stok keluar",F181&gt;0),"Stok keluar harus -",IF(H181&lt;0,"Stok negatif","OK")))))</f>
        <v/>
      </c>
    </row>
    <row r="182" spans="1:11" x14ac:dyDescent="0.3">
      <c r="A182" s="9" t="str">
        <f t="shared" si="4"/>
        <v/>
      </c>
      <c r="B182" s="10"/>
      <c r="C182" s="5"/>
      <c r="D182" s="5"/>
      <c r="E182" s="11" t="str">
        <f>IF(D182="","",IFERROR(INDEX('Master Produk'!$B$2:$B$101,MATCH(D182,'Master Produk'!$A$2:$A$101,0)),"SKU tidak ada di master"))</f>
        <v/>
      </c>
      <c r="F182" s="6"/>
      <c r="G182" s="12" t="str">
        <f>IF(D182="","",IFERROR(INDEX('Master Produk'!$C$2:$C$101,MATCH(D182,'Master Produk'!$A$2:$A$101,0)),0)+SUMIFS(F$1:F181,D$1:D181,D182))</f>
        <v/>
      </c>
      <c r="H182" s="12" t="str">
        <f t="shared" si="5"/>
        <v/>
      </c>
      <c r="I182" s="5"/>
      <c r="J182" s="5"/>
      <c r="K182" s="11" t="str">
        <f>IF(D182="","",IF(ISNA(MATCH(D182,'Master Produk'!$A$2:$A$101,0)),"SKU tidak ada di master",IF(AND(C182="Stok masuk",F182&lt;0),"Stok masuk harus +",IF(AND(C182="Stok keluar",F182&gt;0),"Stok keluar harus -",IF(H182&lt;0,"Stok negatif","OK")))))</f>
        <v/>
      </c>
    </row>
    <row r="183" spans="1:11" x14ac:dyDescent="0.3">
      <c r="A183" s="9" t="str">
        <f t="shared" si="4"/>
        <v/>
      </c>
      <c r="B183" s="10"/>
      <c r="C183" s="5"/>
      <c r="D183" s="5"/>
      <c r="E183" s="11" t="str">
        <f>IF(D183="","",IFERROR(INDEX('Master Produk'!$B$2:$B$101,MATCH(D183,'Master Produk'!$A$2:$A$101,0)),"SKU tidak ada di master"))</f>
        <v/>
      </c>
      <c r="F183" s="6"/>
      <c r="G183" s="12" t="str">
        <f>IF(D183="","",IFERROR(INDEX('Master Produk'!$C$2:$C$101,MATCH(D183,'Master Produk'!$A$2:$A$101,0)),0)+SUMIFS(F$1:F182,D$1:D182,D183))</f>
        <v/>
      </c>
      <c r="H183" s="12" t="str">
        <f t="shared" si="5"/>
        <v/>
      </c>
      <c r="I183" s="5"/>
      <c r="J183" s="5"/>
      <c r="K183" s="11" t="str">
        <f>IF(D183="","",IF(ISNA(MATCH(D183,'Master Produk'!$A$2:$A$101,0)),"SKU tidak ada di master",IF(AND(C183="Stok masuk",F183&lt;0),"Stok masuk harus +",IF(AND(C183="Stok keluar",F183&gt;0),"Stok keluar harus -",IF(H183&lt;0,"Stok negatif","OK")))))</f>
        <v/>
      </c>
    </row>
    <row r="184" spans="1:11" x14ac:dyDescent="0.3">
      <c r="A184" s="9" t="str">
        <f t="shared" si="4"/>
        <v/>
      </c>
      <c r="B184" s="10"/>
      <c r="C184" s="5"/>
      <c r="D184" s="5"/>
      <c r="E184" s="11" t="str">
        <f>IF(D184="","",IFERROR(INDEX('Master Produk'!$B$2:$B$101,MATCH(D184,'Master Produk'!$A$2:$A$101,0)),"SKU tidak ada di master"))</f>
        <v/>
      </c>
      <c r="F184" s="6"/>
      <c r="G184" s="12" t="str">
        <f>IF(D184="","",IFERROR(INDEX('Master Produk'!$C$2:$C$101,MATCH(D184,'Master Produk'!$A$2:$A$101,0)),0)+SUMIFS(F$1:F183,D$1:D183,D184))</f>
        <v/>
      </c>
      <c r="H184" s="12" t="str">
        <f t="shared" si="5"/>
        <v/>
      </c>
      <c r="I184" s="5"/>
      <c r="J184" s="5"/>
      <c r="K184" s="11" t="str">
        <f>IF(D184="","",IF(ISNA(MATCH(D184,'Master Produk'!$A$2:$A$101,0)),"SKU tidak ada di master",IF(AND(C184="Stok masuk",F184&lt;0),"Stok masuk harus +",IF(AND(C184="Stok keluar",F184&gt;0),"Stok keluar harus -",IF(H184&lt;0,"Stok negatif","OK")))))</f>
        <v/>
      </c>
    </row>
    <row r="185" spans="1:11" x14ac:dyDescent="0.3">
      <c r="A185" s="9" t="str">
        <f t="shared" si="4"/>
        <v/>
      </c>
      <c r="B185" s="10"/>
      <c r="C185" s="5"/>
      <c r="D185" s="5"/>
      <c r="E185" s="11" t="str">
        <f>IF(D185="","",IFERROR(INDEX('Master Produk'!$B$2:$B$101,MATCH(D185,'Master Produk'!$A$2:$A$101,0)),"SKU tidak ada di master"))</f>
        <v/>
      </c>
      <c r="F185" s="6"/>
      <c r="G185" s="12" t="str">
        <f>IF(D185="","",IFERROR(INDEX('Master Produk'!$C$2:$C$101,MATCH(D185,'Master Produk'!$A$2:$A$101,0)),0)+SUMIFS(F$1:F184,D$1:D184,D185))</f>
        <v/>
      </c>
      <c r="H185" s="12" t="str">
        <f t="shared" si="5"/>
        <v/>
      </c>
      <c r="I185" s="5"/>
      <c r="J185" s="5"/>
      <c r="K185" s="11" t="str">
        <f>IF(D185="","",IF(ISNA(MATCH(D185,'Master Produk'!$A$2:$A$101,0)),"SKU tidak ada di master",IF(AND(C185="Stok masuk",F185&lt;0),"Stok masuk harus +",IF(AND(C185="Stok keluar",F185&gt;0),"Stok keluar harus -",IF(H185&lt;0,"Stok negatif","OK")))))</f>
        <v/>
      </c>
    </row>
    <row r="186" spans="1:11" x14ac:dyDescent="0.3">
      <c r="A186" s="9" t="str">
        <f t="shared" si="4"/>
        <v/>
      </c>
      <c r="B186" s="10"/>
      <c r="C186" s="5"/>
      <c r="D186" s="5"/>
      <c r="E186" s="11" t="str">
        <f>IF(D186="","",IFERROR(INDEX('Master Produk'!$B$2:$B$101,MATCH(D186,'Master Produk'!$A$2:$A$101,0)),"SKU tidak ada di master"))</f>
        <v/>
      </c>
      <c r="F186" s="6"/>
      <c r="G186" s="12" t="str">
        <f>IF(D186="","",IFERROR(INDEX('Master Produk'!$C$2:$C$101,MATCH(D186,'Master Produk'!$A$2:$A$101,0)),0)+SUMIFS(F$1:F185,D$1:D185,D186))</f>
        <v/>
      </c>
      <c r="H186" s="12" t="str">
        <f t="shared" si="5"/>
        <v/>
      </c>
      <c r="I186" s="5"/>
      <c r="J186" s="5"/>
      <c r="K186" s="11" t="str">
        <f>IF(D186="","",IF(ISNA(MATCH(D186,'Master Produk'!$A$2:$A$101,0)),"SKU tidak ada di master",IF(AND(C186="Stok masuk",F186&lt;0),"Stok masuk harus +",IF(AND(C186="Stok keluar",F186&gt;0),"Stok keluar harus -",IF(H186&lt;0,"Stok negatif","OK")))))</f>
        <v/>
      </c>
    </row>
    <row r="187" spans="1:11" x14ac:dyDescent="0.3">
      <c r="A187" s="9" t="str">
        <f t="shared" si="4"/>
        <v/>
      </c>
      <c r="B187" s="10"/>
      <c r="C187" s="5"/>
      <c r="D187" s="5"/>
      <c r="E187" s="11" t="str">
        <f>IF(D187="","",IFERROR(INDEX('Master Produk'!$B$2:$B$101,MATCH(D187,'Master Produk'!$A$2:$A$101,0)),"SKU tidak ada di master"))</f>
        <v/>
      </c>
      <c r="F187" s="6"/>
      <c r="G187" s="12" t="str">
        <f>IF(D187="","",IFERROR(INDEX('Master Produk'!$C$2:$C$101,MATCH(D187,'Master Produk'!$A$2:$A$101,0)),0)+SUMIFS(F$1:F186,D$1:D186,D187))</f>
        <v/>
      </c>
      <c r="H187" s="12" t="str">
        <f t="shared" si="5"/>
        <v/>
      </c>
      <c r="I187" s="5"/>
      <c r="J187" s="5"/>
      <c r="K187" s="11" t="str">
        <f>IF(D187="","",IF(ISNA(MATCH(D187,'Master Produk'!$A$2:$A$101,0)),"SKU tidak ada di master",IF(AND(C187="Stok masuk",F187&lt;0),"Stok masuk harus +",IF(AND(C187="Stok keluar",F187&gt;0),"Stok keluar harus -",IF(H187&lt;0,"Stok negatif","OK")))))</f>
        <v/>
      </c>
    </row>
    <row r="188" spans="1:11" x14ac:dyDescent="0.3">
      <c r="A188" s="9" t="str">
        <f t="shared" si="4"/>
        <v/>
      </c>
      <c r="B188" s="10"/>
      <c r="C188" s="5"/>
      <c r="D188" s="5"/>
      <c r="E188" s="11" t="str">
        <f>IF(D188="","",IFERROR(INDEX('Master Produk'!$B$2:$B$101,MATCH(D188,'Master Produk'!$A$2:$A$101,0)),"SKU tidak ada di master"))</f>
        <v/>
      </c>
      <c r="F188" s="6"/>
      <c r="G188" s="12" t="str">
        <f>IF(D188="","",IFERROR(INDEX('Master Produk'!$C$2:$C$101,MATCH(D188,'Master Produk'!$A$2:$A$101,0)),0)+SUMIFS(F$1:F187,D$1:D187,D188))</f>
        <v/>
      </c>
      <c r="H188" s="12" t="str">
        <f t="shared" si="5"/>
        <v/>
      </c>
      <c r="I188" s="5"/>
      <c r="J188" s="5"/>
      <c r="K188" s="11" t="str">
        <f>IF(D188="","",IF(ISNA(MATCH(D188,'Master Produk'!$A$2:$A$101,0)),"SKU tidak ada di master",IF(AND(C188="Stok masuk",F188&lt;0),"Stok masuk harus +",IF(AND(C188="Stok keluar",F188&gt;0),"Stok keluar harus -",IF(H188&lt;0,"Stok negatif","OK")))))</f>
        <v/>
      </c>
    </row>
    <row r="189" spans="1:11" x14ac:dyDescent="0.3">
      <c r="A189" s="9" t="str">
        <f t="shared" si="4"/>
        <v/>
      </c>
      <c r="B189" s="10"/>
      <c r="C189" s="5"/>
      <c r="D189" s="5"/>
      <c r="E189" s="11" t="str">
        <f>IF(D189="","",IFERROR(INDEX('Master Produk'!$B$2:$B$101,MATCH(D189,'Master Produk'!$A$2:$A$101,0)),"SKU tidak ada di master"))</f>
        <v/>
      </c>
      <c r="F189" s="6"/>
      <c r="G189" s="12" t="str">
        <f>IF(D189="","",IFERROR(INDEX('Master Produk'!$C$2:$C$101,MATCH(D189,'Master Produk'!$A$2:$A$101,0)),0)+SUMIFS(F$1:F188,D$1:D188,D189))</f>
        <v/>
      </c>
      <c r="H189" s="12" t="str">
        <f t="shared" si="5"/>
        <v/>
      </c>
      <c r="I189" s="5"/>
      <c r="J189" s="5"/>
      <c r="K189" s="11" t="str">
        <f>IF(D189="","",IF(ISNA(MATCH(D189,'Master Produk'!$A$2:$A$101,0)),"SKU tidak ada di master",IF(AND(C189="Stok masuk",F189&lt;0),"Stok masuk harus +",IF(AND(C189="Stok keluar",F189&gt;0),"Stok keluar harus -",IF(H189&lt;0,"Stok negatif","OK")))))</f>
        <v/>
      </c>
    </row>
    <row r="190" spans="1:11" x14ac:dyDescent="0.3">
      <c r="A190" s="9" t="str">
        <f t="shared" si="4"/>
        <v/>
      </c>
      <c r="B190" s="10"/>
      <c r="C190" s="5"/>
      <c r="D190" s="5"/>
      <c r="E190" s="11" t="str">
        <f>IF(D190="","",IFERROR(INDEX('Master Produk'!$B$2:$B$101,MATCH(D190,'Master Produk'!$A$2:$A$101,0)),"SKU tidak ada di master"))</f>
        <v/>
      </c>
      <c r="F190" s="6"/>
      <c r="G190" s="12" t="str">
        <f>IF(D190="","",IFERROR(INDEX('Master Produk'!$C$2:$C$101,MATCH(D190,'Master Produk'!$A$2:$A$101,0)),0)+SUMIFS(F$1:F189,D$1:D189,D190))</f>
        <v/>
      </c>
      <c r="H190" s="12" t="str">
        <f t="shared" si="5"/>
        <v/>
      </c>
      <c r="I190" s="5"/>
      <c r="J190" s="5"/>
      <c r="K190" s="11" t="str">
        <f>IF(D190="","",IF(ISNA(MATCH(D190,'Master Produk'!$A$2:$A$101,0)),"SKU tidak ada di master",IF(AND(C190="Stok masuk",F190&lt;0),"Stok masuk harus +",IF(AND(C190="Stok keluar",F190&gt;0),"Stok keluar harus -",IF(H190&lt;0,"Stok negatif","OK")))))</f>
        <v/>
      </c>
    </row>
    <row r="191" spans="1:11" x14ac:dyDescent="0.3">
      <c r="A191" s="9" t="str">
        <f t="shared" si="4"/>
        <v/>
      </c>
      <c r="B191" s="10"/>
      <c r="C191" s="5"/>
      <c r="D191" s="5"/>
      <c r="E191" s="11" t="str">
        <f>IF(D191="","",IFERROR(INDEX('Master Produk'!$B$2:$B$101,MATCH(D191,'Master Produk'!$A$2:$A$101,0)),"SKU tidak ada di master"))</f>
        <v/>
      </c>
      <c r="F191" s="6"/>
      <c r="G191" s="12" t="str">
        <f>IF(D191="","",IFERROR(INDEX('Master Produk'!$C$2:$C$101,MATCH(D191,'Master Produk'!$A$2:$A$101,0)),0)+SUMIFS(F$1:F190,D$1:D190,D191))</f>
        <v/>
      </c>
      <c r="H191" s="12" t="str">
        <f t="shared" si="5"/>
        <v/>
      </c>
      <c r="I191" s="5"/>
      <c r="J191" s="5"/>
      <c r="K191" s="11" t="str">
        <f>IF(D191="","",IF(ISNA(MATCH(D191,'Master Produk'!$A$2:$A$101,0)),"SKU tidak ada di master",IF(AND(C191="Stok masuk",F191&lt;0),"Stok masuk harus +",IF(AND(C191="Stok keluar",F191&gt;0),"Stok keluar harus -",IF(H191&lt;0,"Stok negatif","OK")))))</f>
        <v/>
      </c>
    </row>
    <row r="192" spans="1:11" x14ac:dyDescent="0.3">
      <c r="A192" s="9" t="str">
        <f t="shared" si="4"/>
        <v/>
      </c>
      <c r="B192" s="10"/>
      <c r="C192" s="5"/>
      <c r="D192" s="5"/>
      <c r="E192" s="11" t="str">
        <f>IF(D192="","",IFERROR(INDEX('Master Produk'!$B$2:$B$101,MATCH(D192,'Master Produk'!$A$2:$A$101,0)),"SKU tidak ada di master"))</f>
        <v/>
      </c>
      <c r="F192" s="6"/>
      <c r="G192" s="12" t="str">
        <f>IF(D192="","",IFERROR(INDEX('Master Produk'!$C$2:$C$101,MATCH(D192,'Master Produk'!$A$2:$A$101,0)),0)+SUMIFS(F$1:F191,D$1:D191,D192))</f>
        <v/>
      </c>
      <c r="H192" s="12" t="str">
        <f t="shared" si="5"/>
        <v/>
      </c>
      <c r="I192" s="5"/>
      <c r="J192" s="5"/>
      <c r="K192" s="11" t="str">
        <f>IF(D192="","",IF(ISNA(MATCH(D192,'Master Produk'!$A$2:$A$101,0)),"SKU tidak ada di master",IF(AND(C192="Stok masuk",F192&lt;0),"Stok masuk harus +",IF(AND(C192="Stok keluar",F192&gt;0),"Stok keluar harus -",IF(H192&lt;0,"Stok negatif","OK")))))</f>
        <v/>
      </c>
    </row>
    <row r="193" spans="1:11" x14ac:dyDescent="0.3">
      <c r="A193" s="9" t="str">
        <f t="shared" si="4"/>
        <v/>
      </c>
      <c r="B193" s="10"/>
      <c r="C193" s="5"/>
      <c r="D193" s="5"/>
      <c r="E193" s="11" t="str">
        <f>IF(D193="","",IFERROR(INDEX('Master Produk'!$B$2:$B$101,MATCH(D193,'Master Produk'!$A$2:$A$101,0)),"SKU tidak ada di master"))</f>
        <v/>
      </c>
      <c r="F193" s="6"/>
      <c r="G193" s="12" t="str">
        <f>IF(D193="","",IFERROR(INDEX('Master Produk'!$C$2:$C$101,MATCH(D193,'Master Produk'!$A$2:$A$101,0)),0)+SUMIFS(F$1:F192,D$1:D192,D193))</f>
        <v/>
      </c>
      <c r="H193" s="12" t="str">
        <f t="shared" si="5"/>
        <v/>
      </c>
      <c r="I193" s="5"/>
      <c r="J193" s="5"/>
      <c r="K193" s="11" t="str">
        <f>IF(D193="","",IF(ISNA(MATCH(D193,'Master Produk'!$A$2:$A$101,0)),"SKU tidak ada di master",IF(AND(C193="Stok masuk",F193&lt;0),"Stok masuk harus +",IF(AND(C193="Stok keluar",F193&gt;0),"Stok keluar harus -",IF(H193&lt;0,"Stok negatif","OK")))))</f>
        <v/>
      </c>
    </row>
    <row r="194" spans="1:11" x14ac:dyDescent="0.3">
      <c r="A194" s="9" t="str">
        <f t="shared" ref="A194:A257" si="6">IF(D194="","",ROW()-1)</f>
        <v/>
      </c>
      <c r="B194" s="10"/>
      <c r="C194" s="5"/>
      <c r="D194" s="5"/>
      <c r="E194" s="11" t="str">
        <f>IF(D194="","",IFERROR(INDEX('Master Produk'!$B$2:$B$101,MATCH(D194,'Master Produk'!$A$2:$A$101,0)),"SKU tidak ada di master"))</f>
        <v/>
      </c>
      <c r="F194" s="6"/>
      <c r="G194" s="12" t="str">
        <f>IF(D194="","",IFERROR(INDEX('Master Produk'!$C$2:$C$101,MATCH(D194,'Master Produk'!$A$2:$A$101,0)),0)+SUMIFS(F$1:F193,D$1:D193,D194))</f>
        <v/>
      </c>
      <c r="H194" s="12" t="str">
        <f t="shared" ref="H194:H257" si="7">IF(D194="","",G194+F194)</f>
        <v/>
      </c>
      <c r="I194" s="5"/>
      <c r="J194" s="5"/>
      <c r="K194" s="11" t="str">
        <f>IF(D194="","",IF(ISNA(MATCH(D194,'Master Produk'!$A$2:$A$101,0)),"SKU tidak ada di master",IF(AND(C194="Stok masuk",F194&lt;0),"Stok masuk harus +",IF(AND(C194="Stok keluar",F194&gt;0),"Stok keluar harus -",IF(H194&lt;0,"Stok negatif","OK")))))</f>
        <v/>
      </c>
    </row>
    <row r="195" spans="1:11" x14ac:dyDescent="0.3">
      <c r="A195" s="9" t="str">
        <f t="shared" si="6"/>
        <v/>
      </c>
      <c r="B195" s="10"/>
      <c r="C195" s="5"/>
      <c r="D195" s="5"/>
      <c r="E195" s="11" t="str">
        <f>IF(D195="","",IFERROR(INDEX('Master Produk'!$B$2:$B$101,MATCH(D195,'Master Produk'!$A$2:$A$101,0)),"SKU tidak ada di master"))</f>
        <v/>
      </c>
      <c r="F195" s="6"/>
      <c r="G195" s="12" t="str">
        <f>IF(D195="","",IFERROR(INDEX('Master Produk'!$C$2:$C$101,MATCH(D195,'Master Produk'!$A$2:$A$101,0)),0)+SUMIFS(F$1:F194,D$1:D194,D195))</f>
        <v/>
      </c>
      <c r="H195" s="12" t="str">
        <f t="shared" si="7"/>
        <v/>
      </c>
      <c r="I195" s="5"/>
      <c r="J195" s="5"/>
      <c r="K195" s="11" t="str">
        <f>IF(D195="","",IF(ISNA(MATCH(D195,'Master Produk'!$A$2:$A$101,0)),"SKU tidak ada di master",IF(AND(C195="Stok masuk",F195&lt;0),"Stok masuk harus +",IF(AND(C195="Stok keluar",F195&gt;0),"Stok keluar harus -",IF(H195&lt;0,"Stok negatif","OK")))))</f>
        <v/>
      </c>
    </row>
    <row r="196" spans="1:11" x14ac:dyDescent="0.3">
      <c r="A196" s="9" t="str">
        <f t="shared" si="6"/>
        <v/>
      </c>
      <c r="B196" s="10"/>
      <c r="C196" s="5"/>
      <c r="D196" s="5"/>
      <c r="E196" s="11" t="str">
        <f>IF(D196="","",IFERROR(INDEX('Master Produk'!$B$2:$B$101,MATCH(D196,'Master Produk'!$A$2:$A$101,0)),"SKU tidak ada di master"))</f>
        <v/>
      </c>
      <c r="F196" s="6"/>
      <c r="G196" s="12" t="str">
        <f>IF(D196="","",IFERROR(INDEX('Master Produk'!$C$2:$C$101,MATCH(D196,'Master Produk'!$A$2:$A$101,0)),0)+SUMIFS(F$1:F195,D$1:D195,D196))</f>
        <v/>
      </c>
      <c r="H196" s="12" t="str">
        <f t="shared" si="7"/>
        <v/>
      </c>
      <c r="I196" s="5"/>
      <c r="J196" s="5"/>
      <c r="K196" s="11" t="str">
        <f>IF(D196="","",IF(ISNA(MATCH(D196,'Master Produk'!$A$2:$A$101,0)),"SKU tidak ada di master",IF(AND(C196="Stok masuk",F196&lt;0),"Stok masuk harus +",IF(AND(C196="Stok keluar",F196&gt;0),"Stok keluar harus -",IF(H196&lt;0,"Stok negatif","OK")))))</f>
        <v/>
      </c>
    </row>
    <row r="197" spans="1:11" x14ac:dyDescent="0.3">
      <c r="A197" s="9" t="str">
        <f t="shared" si="6"/>
        <v/>
      </c>
      <c r="B197" s="10"/>
      <c r="C197" s="5"/>
      <c r="D197" s="5"/>
      <c r="E197" s="11" t="str">
        <f>IF(D197="","",IFERROR(INDEX('Master Produk'!$B$2:$B$101,MATCH(D197,'Master Produk'!$A$2:$A$101,0)),"SKU tidak ada di master"))</f>
        <v/>
      </c>
      <c r="F197" s="6"/>
      <c r="G197" s="12" t="str">
        <f>IF(D197="","",IFERROR(INDEX('Master Produk'!$C$2:$C$101,MATCH(D197,'Master Produk'!$A$2:$A$101,0)),0)+SUMIFS(F$1:F196,D$1:D196,D197))</f>
        <v/>
      </c>
      <c r="H197" s="12" t="str">
        <f t="shared" si="7"/>
        <v/>
      </c>
      <c r="I197" s="5"/>
      <c r="J197" s="5"/>
      <c r="K197" s="11" t="str">
        <f>IF(D197="","",IF(ISNA(MATCH(D197,'Master Produk'!$A$2:$A$101,0)),"SKU tidak ada di master",IF(AND(C197="Stok masuk",F197&lt;0),"Stok masuk harus +",IF(AND(C197="Stok keluar",F197&gt;0),"Stok keluar harus -",IF(H197&lt;0,"Stok negatif","OK")))))</f>
        <v/>
      </c>
    </row>
    <row r="198" spans="1:11" x14ac:dyDescent="0.3">
      <c r="A198" s="9" t="str">
        <f t="shared" si="6"/>
        <v/>
      </c>
      <c r="B198" s="10"/>
      <c r="C198" s="5"/>
      <c r="D198" s="5"/>
      <c r="E198" s="11" t="str">
        <f>IF(D198="","",IFERROR(INDEX('Master Produk'!$B$2:$B$101,MATCH(D198,'Master Produk'!$A$2:$A$101,0)),"SKU tidak ada di master"))</f>
        <v/>
      </c>
      <c r="F198" s="6"/>
      <c r="G198" s="12" t="str">
        <f>IF(D198="","",IFERROR(INDEX('Master Produk'!$C$2:$C$101,MATCH(D198,'Master Produk'!$A$2:$A$101,0)),0)+SUMIFS(F$1:F197,D$1:D197,D198))</f>
        <v/>
      </c>
      <c r="H198" s="12" t="str">
        <f t="shared" si="7"/>
        <v/>
      </c>
      <c r="I198" s="5"/>
      <c r="J198" s="5"/>
      <c r="K198" s="11" t="str">
        <f>IF(D198="","",IF(ISNA(MATCH(D198,'Master Produk'!$A$2:$A$101,0)),"SKU tidak ada di master",IF(AND(C198="Stok masuk",F198&lt;0),"Stok masuk harus +",IF(AND(C198="Stok keluar",F198&gt;0),"Stok keluar harus -",IF(H198&lt;0,"Stok negatif","OK")))))</f>
        <v/>
      </c>
    </row>
    <row r="199" spans="1:11" x14ac:dyDescent="0.3">
      <c r="A199" s="9" t="str">
        <f t="shared" si="6"/>
        <v/>
      </c>
      <c r="B199" s="10"/>
      <c r="C199" s="5"/>
      <c r="D199" s="5"/>
      <c r="E199" s="11" t="str">
        <f>IF(D199="","",IFERROR(INDEX('Master Produk'!$B$2:$B$101,MATCH(D199,'Master Produk'!$A$2:$A$101,0)),"SKU tidak ada di master"))</f>
        <v/>
      </c>
      <c r="F199" s="6"/>
      <c r="G199" s="12" t="str">
        <f>IF(D199="","",IFERROR(INDEX('Master Produk'!$C$2:$C$101,MATCH(D199,'Master Produk'!$A$2:$A$101,0)),0)+SUMIFS(F$1:F198,D$1:D198,D199))</f>
        <v/>
      </c>
      <c r="H199" s="12" t="str">
        <f t="shared" si="7"/>
        <v/>
      </c>
      <c r="I199" s="5"/>
      <c r="J199" s="5"/>
      <c r="K199" s="11" t="str">
        <f>IF(D199="","",IF(ISNA(MATCH(D199,'Master Produk'!$A$2:$A$101,0)),"SKU tidak ada di master",IF(AND(C199="Stok masuk",F199&lt;0),"Stok masuk harus +",IF(AND(C199="Stok keluar",F199&gt;0),"Stok keluar harus -",IF(H199&lt;0,"Stok negatif","OK")))))</f>
        <v/>
      </c>
    </row>
    <row r="200" spans="1:11" x14ac:dyDescent="0.3">
      <c r="A200" s="9" t="str">
        <f t="shared" si="6"/>
        <v/>
      </c>
      <c r="B200" s="10"/>
      <c r="C200" s="5"/>
      <c r="D200" s="5"/>
      <c r="E200" s="11" t="str">
        <f>IF(D200="","",IFERROR(INDEX('Master Produk'!$B$2:$B$101,MATCH(D200,'Master Produk'!$A$2:$A$101,0)),"SKU tidak ada di master"))</f>
        <v/>
      </c>
      <c r="F200" s="6"/>
      <c r="G200" s="12" t="str">
        <f>IF(D200="","",IFERROR(INDEX('Master Produk'!$C$2:$C$101,MATCH(D200,'Master Produk'!$A$2:$A$101,0)),0)+SUMIFS(F$1:F199,D$1:D199,D200))</f>
        <v/>
      </c>
      <c r="H200" s="12" t="str">
        <f t="shared" si="7"/>
        <v/>
      </c>
      <c r="I200" s="5"/>
      <c r="J200" s="5"/>
      <c r="K200" s="11" t="str">
        <f>IF(D200="","",IF(ISNA(MATCH(D200,'Master Produk'!$A$2:$A$101,0)),"SKU tidak ada di master",IF(AND(C200="Stok masuk",F200&lt;0),"Stok masuk harus +",IF(AND(C200="Stok keluar",F200&gt;0),"Stok keluar harus -",IF(H200&lt;0,"Stok negatif","OK")))))</f>
        <v/>
      </c>
    </row>
    <row r="201" spans="1:11" x14ac:dyDescent="0.3">
      <c r="A201" s="9" t="str">
        <f t="shared" si="6"/>
        <v/>
      </c>
      <c r="B201" s="10"/>
      <c r="C201" s="5"/>
      <c r="D201" s="5"/>
      <c r="E201" s="11" t="str">
        <f>IF(D201="","",IFERROR(INDEX('Master Produk'!$B$2:$B$101,MATCH(D201,'Master Produk'!$A$2:$A$101,0)),"SKU tidak ada di master"))</f>
        <v/>
      </c>
      <c r="F201" s="6"/>
      <c r="G201" s="12" t="str">
        <f>IF(D201="","",IFERROR(INDEX('Master Produk'!$C$2:$C$101,MATCH(D201,'Master Produk'!$A$2:$A$101,0)),0)+SUMIFS(F$1:F200,D$1:D200,D201))</f>
        <v/>
      </c>
      <c r="H201" s="12" t="str">
        <f t="shared" si="7"/>
        <v/>
      </c>
      <c r="I201" s="5"/>
      <c r="J201" s="5"/>
      <c r="K201" s="11" t="str">
        <f>IF(D201="","",IF(ISNA(MATCH(D201,'Master Produk'!$A$2:$A$101,0)),"SKU tidak ada di master",IF(AND(C201="Stok masuk",F201&lt;0),"Stok masuk harus +",IF(AND(C201="Stok keluar",F201&gt;0),"Stok keluar harus -",IF(H201&lt;0,"Stok negatif","OK")))))</f>
        <v/>
      </c>
    </row>
    <row r="202" spans="1:11" x14ac:dyDescent="0.3">
      <c r="A202" s="9" t="str">
        <f t="shared" si="6"/>
        <v/>
      </c>
      <c r="B202" s="10"/>
      <c r="C202" s="5"/>
      <c r="D202" s="5"/>
      <c r="E202" s="11" t="str">
        <f>IF(D202="","",IFERROR(INDEX('Master Produk'!$B$2:$B$101,MATCH(D202,'Master Produk'!$A$2:$A$101,0)),"SKU tidak ada di master"))</f>
        <v/>
      </c>
      <c r="F202" s="6"/>
      <c r="G202" s="12" t="str">
        <f>IF(D202="","",IFERROR(INDEX('Master Produk'!$C$2:$C$101,MATCH(D202,'Master Produk'!$A$2:$A$101,0)),0)+SUMIFS(F$1:F201,D$1:D201,D202))</f>
        <v/>
      </c>
      <c r="H202" s="12" t="str">
        <f t="shared" si="7"/>
        <v/>
      </c>
      <c r="I202" s="5"/>
      <c r="J202" s="5"/>
      <c r="K202" s="11" t="str">
        <f>IF(D202="","",IF(ISNA(MATCH(D202,'Master Produk'!$A$2:$A$101,0)),"SKU tidak ada di master",IF(AND(C202="Stok masuk",F202&lt;0),"Stok masuk harus +",IF(AND(C202="Stok keluar",F202&gt;0),"Stok keluar harus -",IF(H202&lt;0,"Stok negatif","OK")))))</f>
        <v/>
      </c>
    </row>
    <row r="203" spans="1:11" x14ac:dyDescent="0.3">
      <c r="A203" s="9" t="str">
        <f t="shared" si="6"/>
        <v/>
      </c>
      <c r="B203" s="10"/>
      <c r="C203" s="5"/>
      <c r="D203" s="5"/>
      <c r="E203" s="11" t="str">
        <f>IF(D203="","",IFERROR(INDEX('Master Produk'!$B$2:$B$101,MATCH(D203,'Master Produk'!$A$2:$A$101,0)),"SKU tidak ada di master"))</f>
        <v/>
      </c>
      <c r="F203" s="6"/>
      <c r="G203" s="12" t="str">
        <f>IF(D203="","",IFERROR(INDEX('Master Produk'!$C$2:$C$101,MATCH(D203,'Master Produk'!$A$2:$A$101,0)),0)+SUMIFS(F$1:F202,D$1:D202,D203))</f>
        <v/>
      </c>
      <c r="H203" s="12" t="str">
        <f t="shared" si="7"/>
        <v/>
      </c>
      <c r="I203" s="5"/>
      <c r="J203" s="5"/>
      <c r="K203" s="11" t="str">
        <f>IF(D203="","",IF(ISNA(MATCH(D203,'Master Produk'!$A$2:$A$101,0)),"SKU tidak ada di master",IF(AND(C203="Stok masuk",F203&lt;0),"Stok masuk harus +",IF(AND(C203="Stok keluar",F203&gt;0),"Stok keluar harus -",IF(H203&lt;0,"Stok negatif","OK")))))</f>
        <v/>
      </c>
    </row>
    <row r="204" spans="1:11" x14ac:dyDescent="0.3">
      <c r="A204" s="9" t="str">
        <f t="shared" si="6"/>
        <v/>
      </c>
      <c r="B204" s="10"/>
      <c r="C204" s="5"/>
      <c r="D204" s="5"/>
      <c r="E204" s="11" t="str">
        <f>IF(D204="","",IFERROR(INDEX('Master Produk'!$B$2:$B$101,MATCH(D204,'Master Produk'!$A$2:$A$101,0)),"SKU tidak ada di master"))</f>
        <v/>
      </c>
      <c r="F204" s="6"/>
      <c r="G204" s="12" t="str">
        <f>IF(D204="","",IFERROR(INDEX('Master Produk'!$C$2:$C$101,MATCH(D204,'Master Produk'!$A$2:$A$101,0)),0)+SUMIFS(F$1:F203,D$1:D203,D204))</f>
        <v/>
      </c>
      <c r="H204" s="12" t="str">
        <f t="shared" si="7"/>
        <v/>
      </c>
      <c r="I204" s="5"/>
      <c r="J204" s="5"/>
      <c r="K204" s="11" t="str">
        <f>IF(D204="","",IF(ISNA(MATCH(D204,'Master Produk'!$A$2:$A$101,0)),"SKU tidak ada di master",IF(AND(C204="Stok masuk",F204&lt;0),"Stok masuk harus +",IF(AND(C204="Stok keluar",F204&gt;0),"Stok keluar harus -",IF(H204&lt;0,"Stok negatif","OK")))))</f>
        <v/>
      </c>
    </row>
    <row r="205" spans="1:11" x14ac:dyDescent="0.3">
      <c r="A205" s="9" t="str">
        <f t="shared" si="6"/>
        <v/>
      </c>
      <c r="B205" s="10"/>
      <c r="C205" s="5"/>
      <c r="D205" s="5"/>
      <c r="E205" s="11" t="str">
        <f>IF(D205="","",IFERROR(INDEX('Master Produk'!$B$2:$B$101,MATCH(D205,'Master Produk'!$A$2:$A$101,0)),"SKU tidak ada di master"))</f>
        <v/>
      </c>
      <c r="F205" s="6"/>
      <c r="G205" s="12" t="str">
        <f>IF(D205="","",IFERROR(INDEX('Master Produk'!$C$2:$C$101,MATCH(D205,'Master Produk'!$A$2:$A$101,0)),0)+SUMIFS(F$1:F204,D$1:D204,D205))</f>
        <v/>
      </c>
      <c r="H205" s="12" t="str">
        <f t="shared" si="7"/>
        <v/>
      </c>
      <c r="I205" s="5"/>
      <c r="J205" s="5"/>
      <c r="K205" s="11" t="str">
        <f>IF(D205="","",IF(ISNA(MATCH(D205,'Master Produk'!$A$2:$A$101,0)),"SKU tidak ada di master",IF(AND(C205="Stok masuk",F205&lt;0),"Stok masuk harus +",IF(AND(C205="Stok keluar",F205&gt;0),"Stok keluar harus -",IF(H205&lt;0,"Stok negatif","OK")))))</f>
        <v/>
      </c>
    </row>
    <row r="206" spans="1:11" x14ac:dyDescent="0.3">
      <c r="A206" s="9" t="str">
        <f t="shared" si="6"/>
        <v/>
      </c>
      <c r="B206" s="10"/>
      <c r="C206" s="5"/>
      <c r="D206" s="5"/>
      <c r="E206" s="11" t="str">
        <f>IF(D206="","",IFERROR(INDEX('Master Produk'!$B$2:$B$101,MATCH(D206,'Master Produk'!$A$2:$A$101,0)),"SKU tidak ada di master"))</f>
        <v/>
      </c>
      <c r="F206" s="6"/>
      <c r="G206" s="12" t="str">
        <f>IF(D206="","",IFERROR(INDEX('Master Produk'!$C$2:$C$101,MATCH(D206,'Master Produk'!$A$2:$A$101,0)),0)+SUMIFS(F$1:F205,D$1:D205,D206))</f>
        <v/>
      </c>
      <c r="H206" s="12" t="str">
        <f t="shared" si="7"/>
        <v/>
      </c>
      <c r="I206" s="5"/>
      <c r="J206" s="5"/>
      <c r="K206" s="11" t="str">
        <f>IF(D206="","",IF(ISNA(MATCH(D206,'Master Produk'!$A$2:$A$101,0)),"SKU tidak ada di master",IF(AND(C206="Stok masuk",F206&lt;0),"Stok masuk harus +",IF(AND(C206="Stok keluar",F206&gt;0),"Stok keluar harus -",IF(H206&lt;0,"Stok negatif","OK")))))</f>
        <v/>
      </c>
    </row>
    <row r="207" spans="1:11" x14ac:dyDescent="0.3">
      <c r="A207" s="9" t="str">
        <f t="shared" si="6"/>
        <v/>
      </c>
      <c r="B207" s="10"/>
      <c r="C207" s="5"/>
      <c r="D207" s="5"/>
      <c r="E207" s="11" t="str">
        <f>IF(D207="","",IFERROR(INDEX('Master Produk'!$B$2:$B$101,MATCH(D207,'Master Produk'!$A$2:$A$101,0)),"SKU tidak ada di master"))</f>
        <v/>
      </c>
      <c r="F207" s="6"/>
      <c r="G207" s="12" t="str">
        <f>IF(D207="","",IFERROR(INDEX('Master Produk'!$C$2:$C$101,MATCH(D207,'Master Produk'!$A$2:$A$101,0)),0)+SUMIFS(F$1:F206,D$1:D206,D207))</f>
        <v/>
      </c>
      <c r="H207" s="12" t="str">
        <f t="shared" si="7"/>
        <v/>
      </c>
      <c r="I207" s="5"/>
      <c r="J207" s="5"/>
      <c r="K207" s="11" t="str">
        <f>IF(D207="","",IF(ISNA(MATCH(D207,'Master Produk'!$A$2:$A$101,0)),"SKU tidak ada di master",IF(AND(C207="Stok masuk",F207&lt;0),"Stok masuk harus +",IF(AND(C207="Stok keluar",F207&gt;0),"Stok keluar harus -",IF(H207&lt;0,"Stok negatif","OK")))))</f>
        <v/>
      </c>
    </row>
    <row r="208" spans="1:11" x14ac:dyDescent="0.3">
      <c r="A208" s="9" t="str">
        <f t="shared" si="6"/>
        <v/>
      </c>
      <c r="B208" s="10"/>
      <c r="C208" s="5"/>
      <c r="D208" s="5"/>
      <c r="E208" s="11" t="str">
        <f>IF(D208="","",IFERROR(INDEX('Master Produk'!$B$2:$B$101,MATCH(D208,'Master Produk'!$A$2:$A$101,0)),"SKU tidak ada di master"))</f>
        <v/>
      </c>
      <c r="F208" s="6"/>
      <c r="G208" s="12" t="str">
        <f>IF(D208="","",IFERROR(INDEX('Master Produk'!$C$2:$C$101,MATCH(D208,'Master Produk'!$A$2:$A$101,0)),0)+SUMIFS(F$1:F207,D$1:D207,D208))</f>
        <v/>
      </c>
      <c r="H208" s="12" t="str">
        <f t="shared" si="7"/>
        <v/>
      </c>
      <c r="I208" s="5"/>
      <c r="J208" s="5"/>
      <c r="K208" s="11" t="str">
        <f>IF(D208="","",IF(ISNA(MATCH(D208,'Master Produk'!$A$2:$A$101,0)),"SKU tidak ada di master",IF(AND(C208="Stok masuk",F208&lt;0),"Stok masuk harus +",IF(AND(C208="Stok keluar",F208&gt;0),"Stok keluar harus -",IF(H208&lt;0,"Stok negatif","OK")))))</f>
        <v/>
      </c>
    </row>
    <row r="209" spans="1:11" x14ac:dyDescent="0.3">
      <c r="A209" s="9" t="str">
        <f t="shared" si="6"/>
        <v/>
      </c>
      <c r="B209" s="10"/>
      <c r="C209" s="5"/>
      <c r="D209" s="5"/>
      <c r="E209" s="11" t="str">
        <f>IF(D209="","",IFERROR(INDEX('Master Produk'!$B$2:$B$101,MATCH(D209,'Master Produk'!$A$2:$A$101,0)),"SKU tidak ada di master"))</f>
        <v/>
      </c>
      <c r="F209" s="6"/>
      <c r="G209" s="12" t="str">
        <f>IF(D209="","",IFERROR(INDEX('Master Produk'!$C$2:$C$101,MATCH(D209,'Master Produk'!$A$2:$A$101,0)),0)+SUMIFS(F$1:F208,D$1:D208,D209))</f>
        <v/>
      </c>
      <c r="H209" s="12" t="str">
        <f t="shared" si="7"/>
        <v/>
      </c>
      <c r="I209" s="5"/>
      <c r="J209" s="5"/>
      <c r="K209" s="11" t="str">
        <f>IF(D209="","",IF(ISNA(MATCH(D209,'Master Produk'!$A$2:$A$101,0)),"SKU tidak ada di master",IF(AND(C209="Stok masuk",F209&lt;0),"Stok masuk harus +",IF(AND(C209="Stok keluar",F209&gt;0),"Stok keluar harus -",IF(H209&lt;0,"Stok negatif","OK")))))</f>
        <v/>
      </c>
    </row>
    <row r="210" spans="1:11" x14ac:dyDescent="0.3">
      <c r="A210" s="9" t="str">
        <f t="shared" si="6"/>
        <v/>
      </c>
      <c r="B210" s="10"/>
      <c r="C210" s="5"/>
      <c r="D210" s="5"/>
      <c r="E210" s="11" t="str">
        <f>IF(D210="","",IFERROR(INDEX('Master Produk'!$B$2:$B$101,MATCH(D210,'Master Produk'!$A$2:$A$101,0)),"SKU tidak ada di master"))</f>
        <v/>
      </c>
      <c r="F210" s="6"/>
      <c r="G210" s="12" t="str">
        <f>IF(D210="","",IFERROR(INDEX('Master Produk'!$C$2:$C$101,MATCH(D210,'Master Produk'!$A$2:$A$101,0)),0)+SUMIFS(F$1:F209,D$1:D209,D210))</f>
        <v/>
      </c>
      <c r="H210" s="12" t="str">
        <f t="shared" si="7"/>
        <v/>
      </c>
      <c r="I210" s="5"/>
      <c r="J210" s="5"/>
      <c r="K210" s="11" t="str">
        <f>IF(D210="","",IF(ISNA(MATCH(D210,'Master Produk'!$A$2:$A$101,0)),"SKU tidak ada di master",IF(AND(C210="Stok masuk",F210&lt;0),"Stok masuk harus +",IF(AND(C210="Stok keluar",F210&gt;0),"Stok keluar harus -",IF(H210&lt;0,"Stok negatif","OK")))))</f>
        <v/>
      </c>
    </row>
    <row r="211" spans="1:11" x14ac:dyDescent="0.3">
      <c r="A211" s="9" t="str">
        <f t="shared" si="6"/>
        <v/>
      </c>
      <c r="B211" s="10"/>
      <c r="C211" s="5"/>
      <c r="D211" s="5"/>
      <c r="E211" s="11" t="str">
        <f>IF(D211="","",IFERROR(INDEX('Master Produk'!$B$2:$B$101,MATCH(D211,'Master Produk'!$A$2:$A$101,0)),"SKU tidak ada di master"))</f>
        <v/>
      </c>
      <c r="F211" s="6"/>
      <c r="G211" s="12" t="str">
        <f>IF(D211="","",IFERROR(INDEX('Master Produk'!$C$2:$C$101,MATCH(D211,'Master Produk'!$A$2:$A$101,0)),0)+SUMIFS(F$1:F210,D$1:D210,D211))</f>
        <v/>
      </c>
      <c r="H211" s="12" t="str">
        <f t="shared" si="7"/>
        <v/>
      </c>
      <c r="I211" s="5"/>
      <c r="J211" s="5"/>
      <c r="K211" s="11" t="str">
        <f>IF(D211="","",IF(ISNA(MATCH(D211,'Master Produk'!$A$2:$A$101,0)),"SKU tidak ada di master",IF(AND(C211="Stok masuk",F211&lt;0),"Stok masuk harus +",IF(AND(C211="Stok keluar",F211&gt;0),"Stok keluar harus -",IF(H211&lt;0,"Stok negatif","OK")))))</f>
        <v/>
      </c>
    </row>
    <row r="212" spans="1:11" x14ac:dyDescent="0.3">
      <c r="A212" s="9" t="str">
        <f t="shared" si="6"/>
        <v/>
      </c>
      <c r="B212" s="10"/>
      <c r="C212" s="5"/>
      <c r="D212" s="5"/>
      <c r="E212" s="11" t="str">
        <f>IF(D212="","",IFERROR(INDEX('Master Produk'!$B$2:$B$101,MATCH(D212,'Master Produk'!$A$2:$A$101,0)),"SKU tidak ada di master"))</f>
        <v/>
      </c>
      <c r="F212" s="6"/>
      <c r="G212" s="12" t="str">
        <f>IF(D212="","",IFERROR(INDEX('Master Produk'!$C$2:$C$101,MATCH(D212,'Master Produk'!$A$2:$A$101,0)),0)+SUMIFS(F$1:F211,D$1:D211,D212))</f>
        <v/>
      </c>
      <c r="H212" s="12" t="str">
        <f t="shared" si="7"/>
        <v/>
      </c>
      <c r="I212" s="5"/>
      <c r="J212" s="5"/>
      <c r="K212" s="11" t="str">
        <f>IF(D212="","",IF(ISNA(MATCH(D212,'Master Produk'!$A$2:$A$101,0)),"SKU tidak ada di master",IF(AND(C212="Stok masuk",F212&lt;0),"Stok masuk harus +",IF(AND(C212="Stok keluar",F212&gt;0),"Stok keluar harus -",IF(H212&lt;0,"Stok negatif","OK")))))</f>
        <v/>
      </c>
    </row>
    <row r="213" spans="1:11" x14ac:dyDescent="0.3">
      <c r="A213" s="9" t="str">
        <f t="shared" si="6"/>
        <v/>
      </c>
      <c r="B213" s="10"/>
      <c r="C213" s="5"/>
      <c r="D213" s="5"/>
      <c r="E213" s="11" t="str">
        <f>IF(D213="","",IFERROR(INDEX('Master Produk'!$B$2:$B$101,MATCH(D213,'Master Produk'!$A$2:$A$101,0)),"SKU tidak ada di master"))</f>
        <v/>
      </c>
      <c r="F213" s="6"/>
      <c r="G213" s="12" t="str">
        <f>IF(D213="","",IFERROR(INDEX('Master Produk'!$C$2:$C$101,MATCH(D213,'Master Produk'!$A$2:$A$101,0)),0)+SUMIFS(F$1:F212,D$1:D212,D213))</f>
        <v/>
      </c>
      <c r="H213" s="12" t="str">
        <f t="shared" si="7"/>
        <v/>
      </c>
      <c r="I213" s="5"/>
      <c r="J213" s="5"/>
      <c r="K213" s="11" t="str">
        <f>IF(D213="","",IF(ISNA(MATCH(D213,'Master Produk'!$A$2:$A$101,0)),"SKU tidak ada di master",IF(AND(C213="Stok masuk",F213&lt;0),"Stok masuk harus +",IF(AND(C213="Stok keluar",F213&gt;0),"Stok keluar harus -",IF(H213&lt;0,"Stok negatif","OK")))))</f>
        <v/>
      </c>
    </row>
    <row r="214" spans="1:11" x14ac:dyDescent="0.3">
      <c r="A214" s="9" t="str">
        <f t="shared" si="6"/>
        <v/>
      </c>
      <c r="B214" s="10"/>
      <c r="C214" s="5"/>
      <c r="D214" s="5"/>
      <c r="E214" s="11" t="str">
        <f>IF(D214="","",IFERROR(INDEX('Master Produk'!$B$2:$B$101,MATCH(D214,'Master Produk'!$A$2:$A$101,0)),"SKU tidak ada di master"))</f>
        <v/>
      </c>
      <c r="F214" s="6"/>
      <c r="G214" s="12" t="str">
        <f>IF(D214="","",IFERROR(INDEX('Master Produk'!$C$2:$C$101,MATCH(D214,'Master Produk'!$A$2:$A$101,0)),0)+SUMIFS(F$1:F213,D$1:D213,D214))</f>
        <v/>
      </c>
      <c r="H214" s="12" t="str">
        <f t="shared" si="7"/>
        <v/>
      </c>
      <c r="I214" s="5"/>
      <c r="J214" s="5"/>
      <c r="K214" s="11" t="str">
        <f>IF(D214="","",IF(ISNA(MATCH(D214,'Master Produk'!$A$2:$A$101,0)),"SKU tidak ada di master",IF(AND(C214="Stok masuk",F214&lt;0),"Stok masuk harus +",IF(AND(C214="Stok keluar",F214&gt;0),"Stok keluar harus -",IF(H214&lt;0,"Stok negatif","OK")))))</f>
        <v/>
      </c>
    </row>
    <row r="215" spans="1:11" x14ac:dyDescent="0.3">
      <c r="A215" s="9" t="str">
        <f t="shared" si="6"/>
        <v/>
      </c>
      <c r="B215" s="10"/>
      <c r="C215" s="5"/>
      <c r="D215" s="5"/>
      <c r="E215" s="11" t="str">
        <f>IF(D215="","",IFERROR(INDEX('Master Produk'!$B$2:$B$101,MATCH(D215,'Master Produk'!$A$2:$A$101,0)),"SKU tidak ada di master"))</f>
        <v/>
      </c>
      <c r="F215" s="6"/>
      <c r="G215" s="12" t="str">
        <f>IF(D215="","",IFERROR(INDEX('Master Produk'!$C$2:$C$101,MATCH(D215,'Master Produk'!$A$2:$A$101,0)),0)+SUMIFS(F$1:F214,D$1:D214,D215))</f>
        <v/>
      </c>
      <c r="H215" s="12" t="str">
        <f t="shared" si="7"/>
        <v/>
      </c>
      <c r="I215" s="5"/>
      <c r="J215" s="5"/>
      <c r="K215" s="11" t="str">
        <f>IF(D215="","",IF(ISNA(MATCH(D215,'Master Produk'!$A$2:$A$101,0)),"SKU tidak ada di master",IF(AND(C215="Stok masuk",F215&lt;0),"Stok masuk harus +",IF(AND(C215="Stok keluar",F215&gt;0),"Stok keluar harus -",IF(H215&lt;0,"Stok negatif","OK")))))</f>
        <v/>
      </c>
    </row>
    <row r="216" spans="1:11" x14ac:dyDescent="0.3">
      <c r="A216" s="9" t="str">
        <f t="shared" si="6"/>
        <v/>
      </c>
      <c r="B216" s="10"/>
      <c r="C216" s="5"/>
      <c r="D216" s="5"/>
      <c r="E216" s="11" t="str">
        <f>IF(D216="","",IFERROR(INDEX('Master Produk'!$B$2:$B$101,MATCH(D216,'Master Produk'!$A$2:$A$101,0)),"SKU tidak ada di master"))</f>
        <v/>
      </c>
      <c r="F216" s="6"/>
      <c r="G216" s="12" t="str">
        <f>IF(D216="","",IFERROR(INDEX('Master Produk'!$C$2:$C$101,MATCH(D216,'Master Produk'!$A$2:$A$101,0)),0)+SUMIFS(F$1:F215,D$1:D215,D216))</f>
        <v/>
      </c>
      <c r="H216" s="12" t="str">
        <f t="shared" si="7"/>
        <v/>
      </c>
      <c r="I216" s="5"/>
      <c r="J216" s="5"/>
      <c r="K216" s="11" t="str">
        <f>IF(D216="","",IF(ISNA(MATCH(D216,'Master Produk'!$A$2:$A$101,0)),"SKU tidak ada di master",IF(AND(C216="Stok masuk",F216&lt;0),"Stok masuk harus +",IF(AND(C216="Stok keluar",F216&gt;0),"Stok keluar harus -",IF(H216&lt;0,"Stok negatif","OK")))))</f>
        <v/>
      </c>
    </row>
    <row r="217" spans="1:11" x14ac:dyDescent="0.3">
      <c r="A217" s="9" t="str">
        <f t="shared" si="6"/>
        <v/>
      </c>
      <c r="B217" s="10"/>
      <c r="C217" s="5"/>
      <c r="D217" s="5"/>
      <c r="E217" s="11" t="str">
        <f>IF(D217="","",IFERROR(INDEX('Master Produk'!$B$2:$B$101,MATCH(D217,'Master Produk'!$A$2:$A$101,0)),"SKU tidak ada di master"))</f>
        <v/>
      </c>
      <c r="F217" s="6"/>
      <c r="G217" s="12" t="str">
        <f>IF(D217="","",IFERROR(INDEX('Master Produk'!$C$2:$C$101,MATCH(D217,'Master Produk'!$A$2:$A$101,0)),0)+SUMIFS(F$1:F216,D$1:D216,D217))</f>
        <v/>
      </c>
      <c r="H217" s="12" t="str">
        <f t="shared" si="7"/>
        <v/>
      </c>
      <c r="I217" s="5"/>
      <c r="J217" s="5"/>
      <c r="K217" s="11" t="str">
        <f>IF(D217="","",IF(ISNA(MATCH(D217,'Master Produk'!$A$2:$A$101,0)),"SKU tidak ada di master",IF(AND(C217="Stok masuk",F217&lt;0),"Stok masuk harus +",IF(AND(C217="Stok keluar",F217&gt;0),"Stok keluar harus -",IF(H217&lt;0,"Stok negatif","OK")))))</f>
        <v/>
      </c>
    </row>
    <row r="218" spans="1:11" x14ac:dyDescent="0.3">
      <c r="A218" s="9" t="str">
        <f t="shared" si="6"/>
        <v/>
      </c>
      <c r="B218" s="10"/>
      <c r="C218" s="5"/>
      <c r="D218" s="5"/>
      <c r="E218" s="11" t="str">
        <f>IF(D218="","",IFERROR(INDEX('Master Produk'!$B$2:$B$101,MATCH(D218,'Master Produk'!$A$2:$A$101,0)),"SKU tidak ada di master"))</f>
        <v/>
      </c>
      <c r="F218" s="6"/>
      <c r="G218" s="12" t="str">
        <f>IF(D218="","",IFERROR(INDEX('Master Produk'!$C$2:$C$101,MATCH(D218,'Master Produk'!$A$2:$A$101,0)),0)+SUMIFS(F$1:F217,D$1:D217,D218))</f>
        <v/>
      </c>
      <c r="H218" s="12" t="str">
        <f t="shared" si="7"/>
        <v/>
      </c>
      <c r="I218" s="5"/>
      <c r="J218" s="5"/>
      <c r="K218" s="11" t="str">
        <f>IF(D218="","",IF(ISNA(MATCH(D218,'Master Produk'!$A$2:$A$101,0)),"SKU tidak ada di master",IF(AND(C218="Stok masuk",F218&lt;0),"Stok masuk harus +",IF(AND(C218="Stok keluar",F218&gt;0),"Stok keluar harus -",IF(H218&lt;0,"Stok negatif","OK")))))</f>
        <v/>
      </c>
    </row>
    <row r="219" spans="1:11" x14ac:dyDescent="0.3">
      <c r="A219" s="9" t="str">
        <f t="shared" si="6"/>
        <v/>
      </c>
      <c r="B219" s="10"/>
      <c r="C219" s="5"/>
      <c r="D219" s="5"/>
      <c r="E219" s="11" t="str">
        <f>IF(D219="","",IFERROR(INDEX('Master Produk'!$B$2:$B$101,MATCH(D219,'Master Produk'!$A$2:$A$101,0)),"SKU tidak ada di master"))</f>
        <v/>
      </c>
      <c r="F219" s="6"/>
      <c r="G219" s="12" t="str">
        <f>IF(D219="","",IFERROR(INDEX('Master Produk'!$C$2:$C$101,MATCH(D219,'Master Produk'!$A$2:$A$101,0)),0)+SUMIFS(F$1:F218,D$1:D218,D219))</f>
        <v/>
      </c>
      <c r="H219" s="12" t="str">
        <f t="shared" si="7"/>
        <v/>
      </c>
      <c r="I219" s="5"/>
      <c r="J219" s="5"/>
      <c r="K219" s="11" t="str">
        <f>IF(D219="","",IF(ISNA(MATCH(D219,'Master Produk'!$A$2:$A$101,0)),"SKU tidak ada di master",IF(AND(C219="Stok masuk",F219&lt;0),"Stok masuk harus +",IF(AND(C219="Stok keluar",F219&gt;0),"Stok keluar harus -",IF(H219&lt;0,"Stok negatif","OK")))))</f>
        <v/>
      </c>
    </row>
    <row r="220" spans="1:11" x14ac:dyDescent="0.3">
      <c r="A220" s="9" t="str">
        <f t="shared" si="6"/>
        <v/>
      </c>
      <c r="B220" s="10"/>
      <c r="C220" s="5"/>
      <c r="D220" s="5"/>
      <c r="E220" s="11" t="str">
        <f>IF(D220="","",IFERROR(INDEX('Master Produk'!$B$2:$B$101,MATCH(D220,'Master Produk'!$A$2:$A$101,0)),"SKU tidak ada di master"))</f>
        <v/>
      </c>
      <c r="F220" s="6"/>
      <c r="G220" s="12" t="str">
        <f>IF(D220="","",IFERROR(INDEX('Master Produk'!$C$2:$C$101,MATCH(D220,'Master Produk'!$A$2:$A$101,0)),0)+SUMIFS(F$1:F219,D$1:D219,D220))</f>
        <v/>
      </c>
      <c r="H220" s="12" t="str">
        <f t="shared" si="7"/>
        <v/>
      </c>
      <c r="I220" s="5"/>
      <c r="J220" s="5"/>
      <c r="K220" s="11" t="str">
        <f>IF(D220="","",IF(ISNA(MATCH(D220,'Master Produk'!$A$2:$A$101,0)),"SKU tidak ada di master",IF(AND(C220="Stok masuk",F220&lt;0),"Stok masuk harus +",IF(AND(C220="Stok keluar",F220&gt;0),"Stok keluar harus -",IF(H220&lt;0,"Stok negatif","OK")))))</f>
        <v/>
      </c>
    </row>
    <row r="221" spans="1:11" x14ac:dyDescent="0.3">
      <c r="A221" s="9" t="str">
        <f t="shared" si="6"/>
        <v/>
      </c>
      <c r="B221" s="10"/>
      <c r="C221" s="5"/>
      <c r="D221" s="5"/>
      <c r="E221" s="11" t="str">
        <f>IF(D221="","",IFERROR(INDEX('Master Produk'!$B$2:$B$101,MATCH(D221,'Master Produk'!$A$2:$A$101,0)),"SKU tidak ada di master"))</f>
        <v/>
      </c>
      <c r="F221" s="6"/>
      <c r="G221" s="12" t="str">
        <f>IF(D221="","",IFERROR(INDEX('Master Produk'!$C$2:$C$101,MATCH(D221,'Master Produk'!$A$2:$A$101,0)),0)+SUMIFS(F$1:F220,D$1:D220,D221))</f>
        <v/>
      </c>
      <c r="H221" s="12" t="str">
        <f t="shared" si="7"/>
        <v/>
      </c>
      <c r="I221" s="5"/>
      <c r="J221" s="5"/>
      <c r="K221" s="11" t="str">
        <f>IF(D221="","",IF(ISNA(MATCH(D221,'Master Produk'!$A$2:$A$101,0)),"SKU tidak ada di master",IF(AND(C221="Stok masuk",F221&lt;0),"Stok masuk harus +",IF(AND(C221="Stok keluar",F221&gt;0),"Stok keluar harus -",IF(H221&lt;0,"Stok negatif","OK")))))</f>
        <v/>
      </c>
    </row>
    <row r="222" spans="1:11" x14ac:dyDescent="0.3">
      <c r="A222" s="9" t="str">
        <f t="shared" si="6"/>
        <v/>
      </c>
      <c r="B222" s="10"/>
      <c r="C222" s="5"/>
      <c r="D222" s="5"/>
      <c r="E222" s="11" t="str">
        <f>IF(D222="","",IFERROR(INDEX('Master Produk'!$B$2:$B$101,MATCH(D222,'Master Produk'!$A$2:$A$101,0)),"SKU tidak ada di master"))</f>
        <v/>
      </c>
      <c r="F222" s="6"/>
      <c r="G222" s="12" t="str">
        <f>IF(D222="","",IFERROR(INDEX('Master Produk'!$C$2:$C$101,MATCH(D222,'Master Produk'!$A$2:$A$101,0)),0)+SUMIFS(F$1:F221,D$1:D221,D222))</f>
        <v/>
      </c>
      <c r="H222" s="12" t="str">
        <f t="shared" si="7"/>
        <v/>
      </c>
      <c r="I222" s="5"/>
      <c r="J222" s="5"/>
      <c r="K222" s="11" t="str">
        <f>IF(D222="","",IF(ISNA(MATCH(D222,'Master Produk'!$A$2:$A$101,0)),"SKU tidak ada di master",IF(AND(C222="Stok masuk",F222&lt;0),"Stok masuk harus +",IF(AND(C222="Stok keluar",F222&gt;0),"Stok keluar harus -",IF(H222&lt;0,"Stok negatif","OK")))))</f>
        <v/>
      </c>
    </row>
    <row r="223" spans="1:11" x14ac:dyDescent="0.3">
      <c r="A223" s="9" t="str">
        <f t="shared" si="6"/>
        <v/>
      </c>
      <c r="B223" s="10"/>
      <c r="C223" s="5"/>
      <c r="D223" s="5"/>
      <c r="E223" s="11" t="str">
        <f>IF(D223="","",IFERROR(INDEX('Master Produk'!$B$2:$B$101,MATCH(D223,'Master Produk'!$A$2:$A$101,0)),"SKU tidak ada di master"))</f>
        <v/>
      </c>
      <c r="F223" s="6"/>
      <c r="G223" s="12" t="str">
        <f>IF(D223="","",IFERROR(INDEX('Master Produk'!$C$2:$C$101,MATCH(D223,'Master Produk'!$A$2:$A$101,0)),0)+SUMIFS(F$1:F222,D$1:D222,D223))</f>
        <v/>
      </c>
      <c r="H223" s="12" t="str">
        <f t="shared" si="7"/>
        <v/>
      </c>
      <c r="I223" s="5"/>
      <c r="J223" s="5"/>
      <c r="K223" s="11" t="str">
        <f>IF(D223="","",IF(ISNA(MATCH(D223,'Master Produk'!$A$2:$A$101,0)),"SKU tidak ada di master",IF(AND(C223="Stok masuk",F223&lt;0),"Stok masuk harus +",IF(AND(C223="Stok keluar",F223&gt;0),"Stok keluar harus -",IF(H223&lt;0,"Stok negatif","OK")))))</f>
        <v/>
      </c>
    </row>
    <row r="224" spans="1:11" x14ac:dyDescent="0.3">
      <c r="A224" s="9" t="str">
        <f t="shared" si="6"/>
        <v/>
      </c>
      <c r="B224" s="10"/>
      <c r="C224" s="5"/>
      <c r="D224" s="5"/>
      <c r="E224" s="11" t="str">
        <f>IF(D224="","",IFERROR(INDEX('Master Produk'!$B$2:$B$101,MATCH(D224,'Master Produk'!$A$2:$A$101,0)),"SKU tidak ada di master"))</f>
        <v/>
      </c>
      <c r="F224" s="6"/>
      <c r="G224" s="12" t="str">
        <f>IF(D224="","",IFERROR(INDEX('Master Produk'!$C$2:$C$101,MATCH(D224,'Master Produk'!$A$2:$A$101,0)),0)+SUMIFS(F$1:F223,D$1:D223,D224))</f>
        <v/>
      </c>
      <c r="H224" s="12" t="str">
        <f t="shared" si="7"/>
        <v/>
      </c>
      <c r="I224" s="5"/>
      <c r="J224" s="5"/>
      <c r="K224" s="11" t="str">
        <f>IF(D224="","",IF(ISNA(MATCH(D224,'Master Produk'!$A$2:$A$101,0)),"SKU tidak ada di master",IF(AND(C224="Stok masuk",F224&lt;0),"Stok masuk harus +",IF(AND(C224="Stok keluar",F224&gt;0),"Stok keluar harus -",IF(H224&lt;0,"Stok negatif","OK")))))</f>
        <v/>
      </c>
    </row>
    <row r="225" spans="1:11" x14ac:dyDescent="0.3">
      <c r="A225" s="9" t="str">
        <f t="shared" si="6"/>
        <v/>
      </c>
      <c r="B225" s="10"/>
      <c r="C225" s="5"/>
      <c r="D225" s="5"/>
      <c r="E225" s="11" t="str">
        <f>IF(D225="","",IFERROR(INDEX('Master Produk'!$B$2:$B$101,MATCH(D225,'Master Produk'!$A$2:$A$101,0)),"SKU tidak ada di master"))</f>
        <v/>
      </c>
      <c r="F225" s="6"/>
      <c r="G225" s="12" t="str">
        <f>IF(D225="","",IFERROR(INDEX('Master Produk'!$C$2:$C$101,MATCH(D225,'Master Produk'!$A$2:$A$101,0)),0)+SUMIFS(F$1:F224,D$1:D224,D225))</f>
        <v/>
      </c>
      <c r="H225" s="12" t="str">
        <f t="shared" si="7"/>
        <v/>
      </c>
      <c r="I225" s="5"/>
      <c r="J225" s="5"/>
      <c r="K225" s="11" t="str">
        <f>IF(D225="","",IF(ISNA(MATCH(D225,'Master Produk'!$A$2:$A$101,0)),"SKU tidak ada di master",IF(AND(C225="Stok masuk",F225&lt;0),"Stok masuk harus +",IF(AND(C225="Stok keluar",F225&gt;0),"Stok keluar harus -",IF(H225&lt;0,"Stok negatif","OK")))))</f>
        <v/>
      </c>
    </row>
    <row r="226" spans="1:11" x14ac:dyDescent="0.3">
      <c r="A226" s="9" t="str">
        <f t="shared" si="6"/>
        <v/>
      </c>
      <c r="B226" s="10"/>
      <c r="C226" s="5"/>
      <c r="D226" s="5"/>
      <c r="E226" s="11" t="str">
        <f>IF(D226="","",IFERROR(INDEX('Master Produk'!$B$2:$B$101,MATCH(D226,'Master Produk'!$A$2:$A$101,0)),"SKU tidak ada di master"))</f>
        <v/>
      </c>
      <c r="F226" s="6"/>
      <c r="G226" s="12" t="str">
        <f>IF(D226="","",IFERROR(INDEX('Master Produk'!$C$2:$C$101,MATCH(D226,'Master Produk'!$A$2:$A$101,0)),0)+SUMIFS(F$1:F225,D$1:D225,D226))</f>
        <v/>
      </c>
      <c r="H226" s="12" t="str">
        <f t="shared" si="7"/>
        <v/>
      </c>
      <c r="I226" s="5"/>
      <c r="J226" s="5"/>
      <c r="K226" s="11" t="str">
        <f>IF(D226="","",IF(ISNA(MATCH(D226,'Master Produk'!$A$2:$A$101,0)),"SKU tidak ada di master",IF(AND(C226="Stok masuk",F226&lt;0),"Stok masuk harus +",IF(AND(C226="Stok keluar",F226&gt;0),"Stok keluar harus -",IF(H226&lt;0,"Stok negatif","OK")))))</f>
        <v/>
      </c>
    </row>
    <row r="227" spans="1:11" x14ac:dyDescent="0.3">
      <c r="A227" s="9" t="str">
        <f t="shared" si="6"/>
        <v/>
      </c>
      <c r="B227" s="10"/>
      <c r="C227" s="5"/>
      <c r="D227" s="5"/>
      <c r="E227" s="11" t="str">
        <f>IF(D227="","",IFERROR(INDEX('Master Produk'!$B$2:$B$101,MATCH(D227,'Master Produk'!$A$2:$A$101,0)),"SKU tidak ada di master"))</f>
        <v/>
      </c>
      <c r="F227" s="6"/>
      <c r="G227" s="12" t="str">
        <f>IF(D227="","",IFERROR(INDEX('Master Produk'!$C$2:$C$101,MATCH(D227,'Master Produk'!$A$2:$A$101,0)),0)+SUMIFS(F$1:F226,D$1:D226,D227))</f>
        <v/>
      </c>
      <c r="H227" s="12" t="str">
        <f t="shared" si="7"/>
        <v/>
      </c>
      <c r="I227" s="5"/>
      <c r="J227" s="5"/>
      <c r="K227" s="11" t="str">
        <f>IF(D227="","",IF(ISNA(MATCH(D227,'Master Produk'!$A$2:$A$101,0)),"SKU tidak ada di master",IF(AND(C227="Stok masuk",F227&lt;0),"Stok masuk harus +",IF(AND(C227="Stok keluar",F227&gt;0),"Stok keluar harus -",IF(H227&lt;0,"Stok negatif","OK")))))</f>
        <v/>
      </c>
    </row>
    <row r="228" spans="1:11" x14ac:dyDescent="0.3">
      <c r="A228" s="9" t="str">
        <f t="shared" si="6"/>
        <v/>
      </c>
      <c r="B228" s="10"/>
      <c r="C228" s="5"/>
      <c r="D228" s="5"/>
      <c r="E228" s="11" t="str">
        <f>IF(D228="","",IFERROR(INDEX('Master Produk'!$B$2:$B$101,MATCH(D228,'Master Produk'!$A$2:$A$101,0)),"SKU tidak ada di master"))</f>
        <v/>
      </c>
      <c r="F228" s="6"/>
      <c r="G228" s="12" t="str">
        <f>IF(D228="","",IFERROR(INDEX('Master Produk'!$C$2:$C$101,MATCH(D228,'Master Produk'!$A$2:$A$101,0)),0)+SUMIFS(F$1:F227,D$1:D227,D228))</f>
        <v/>
      </c>
      <c r="H228" s="12" t="str">
        <f t="shared" si="7"/>
        <v/>
      </c>
      <c r="I228" s="5"/>
      <c r="J228" s="5"/>
      <c r="K228" s="11" t="str">
        <f>IF(D228="","",IF(ISNA(MATCH(D228,'Master Produk'!$A$2:$A$101,0)),"SKU tidak ada di master",IF(AND(C228="Stok masuk",F228&lt;0),"Stok masuk harus +",IF(AND(C228="Stok keluar",F228&gt;0),"Stok keluar harus -",IF(H228&lt;0,"Stok negatif","OK")))))</f>
        <v/>
      </c>
    </row>
    <row r="229" spans="1:11" x14ac:dyDescent="0.3">
      <c r="A229" s="9" t="str">
        <f t="shared" si="6"/>
        <v/>
      </c>
      <c r="B229" s="10"/>
      <c r="C229" s="5"/>
      <c r="D229" s="5"/>
      <c r="E229" s="11" t="str">
        <f>IF(D229="","",IFERROR(INDEX('Master Produk'!$B$2:$B$101,MATCH(D229,'Master Produk'!$A$2:$A$101,0)),"SKU tidak ada di master"))</f>
        <v/>
      </c>
      <c r="F229" s="6"/>
      <c r="G229" s="12" t="str">
        <f>IF(D229="","",IFERROR(INDEX('Master Produk'!$C$2:$C$101,MATCH(D229,'Master Produk'!$A$2:$A$101,0)),0)+SUMIFS(F$1:F228,D$1:D228,D229))</f>
        <v/>
      </c>
      <c r="H229" s="12" t="str">
        <f t="shared" si="7"/>
        <v/>
      </c>
      <c r="I229" s="5"/>
      <c r="J229" s="5"/>
      <c r="K229" s="11" t="str">
        <f>IF(D229="","",IF(ISNA(MATCH(D229,'Master Produk'!$A$2:$A$101,0)),"SKU tidak ada di master",IF(AND(C229="Stok masuk",F229&lt;0),"Stok masuk harus +",IF(AND(C229="Stok keluar",F229&gt;0),"Stok keluar harus -",IF(H229&lt;0,"Stok negatif","OK")))))</f>
        <v/>
      </c>
    </row>
    <row r="230" spans="1:11" x14ac:dyDescent="0.3">
      <c r="A230" s="9" t="str">
        <f t="shared" si="6"/>
        <v/>
      </c>
      <c r="B230" s="10"/>
      <c r="C230" s="5"/>
      <c r="D230" s="5"/>
      <c r="E230" s="11" t="str">
        <f>IF(D230="","",IFERROR(INDEX('Master Produk'!$B$2:$B$101,MATCH(D230,'Master Produk'!$A$2:$A$101,0)),"SKU tidak ada di master"))</f>
        <v/>
      </c>
      <c r="F230" s="6"/>
      <c r="G230" s="12" t="str">
        <f>IF(D230="","",IFERROR(INDEX('Master Produk'!$C$2:$C$101,MATCH(D230,'Master Produk'!$A$2:$A$101,0)),0)+SUMIFS(F$1:F229,D$1:D229,D230))</f>
        <v/>
      </c>
      <c r="H230" s="12" t="str">
        <f t="shared" si="7"/>
        <v/>
      </c>
      <c r="I230" s="5"/>
      <c r="J230" s="5"/>
      <c r="K230" s="11" t="str">
        <f>IF(D230="","",IF(ISNA(MATCH(D230,'Master Produk'!$A$2:$A$101,0)),"SKU tidak ada di master",IF(AND(C230="Stok masuk",F230&lt;0),"Stok masuk harus +",IF(AND(C230="Stok keluar",F230&gt;0),"Stok keluar harus -",IF(H230&lt;0,"Stok negatif","OK")))))</f>
        <v/>
      </c>
    </row>
    <row r="231" spans="1:11" x14ac:dyDescent="0.3">
      <c r="A231" s="9" t="str">
        <f t="shared" si="6"/>
        <v/>
      </c>
      <c r="B231" s="10"/>
      <c r="C231" s="5"/>
      <c r="D231" s="5"/>
      <c r="E231" s="11" t="str">
        <f>IF(D231="","",IFERROR(INDEX('Master Produk'!$B$2:$B$101,MATCH(D231,'Master Produk'!$A$2:$A$101,0)),"SKU tidak ada di master"))</f>
        <v/>
      </c>
      <c r="F231" s="6"/>
      <c r="G231" s="12" t="str">
        <f>IF(D231="","",IFERROR(INDEX('Master Produk'!$C$2:$C$101,MATCH(D231,'Master Produk'!$A$2:$A$101,0)),0)+SUMIFS(F$1:F230,D$1:D230,D231))</f>
        <v/>
      </c>
      <c r="H231" s="12" t="str">
        <f t="shared" si="7"/>
        <v/>
      </c>
      <c r="I231" s="5"/>
      <c r="J231" s="5"/>
      <c r="K231" s="11" t="str">
        <f>IF(D231="","",IF(ISNA(MATCH(D231,'Master Produk'!$A$2:$A$101,0)),"SKU tidak ada di master",IF(AND(C231="Stok masuk",F231&lt;0),"Stok masuk harus +",IF(AND(C231="Stok keluar",F231&gt;0),"Stok keluar harus -",IF(H231&lt;0,"Stok negatif","OK")))))</f>
        <v/>
      </c>
    </row>
    <row r="232" spans="1:11" x14ac:dyDescent="0.3">
      <c r="A232" s="9" t="str">
        <f t="shared" si="6"/>
        <v/>
      </c>
      <c r="B232" s="10"/>
      <c r="C232" s="5"/>
      <c r="D232" s="5"/>
      <c r="E232" s="11" t="str">
        <f>IF(D232="","",IFERROR(INDEX('Master Produk'!$B$2:$B$101,MATCH(D232,'Master Produk'!$A$2:$A$101,0)),"SKU tidak ada di master"))</f>
        <v/>
      </c>
      <c r="F232" s="6"/>
      <c r="G232" s="12" t="str">
        <f>IF(D232="","",IFERROR(INDEX('Master Produk'!$C$2:$C$101,MATCH(D232,'Master Produk'!$A$2:$A$101,0)),0)+SUMIFS(F$1:F231,D$1:D231,D232))</f>
        <v/>
      </c>
      <c r="H232" s="12" t="str">
        <f t="shared" si="7"/>
        <v/>
      </c>
      <c r="I232" s="5"/>
      <c r="J232" s="5"/>
      <c r="K232" s="11" t="str">
        <f>IF(D232="","",IF(ISNA(MATCH(D232,'Master Produk'!$A$2:$A$101,0)),"SKU tidak ada di master",IF(AND(C232="Stok masuk",F232&lt;0),"Stok masuk harus +",IF(AND(C232="Stok keluar",F232&gt;0),"Stok keluar harus -",IF(H232&lt;0,"Stok negatif","OK")))))</f>
        <v/>
      </c>
    </row>
    <row r="233" spans="1:11" x14ac:dyDescent="0.3">
      <c r="A233" s="9" t="str">
        <f t="shared" si="6"/>
        <v/>
      </c>
      <c r="B233" s="10"/>
      <c r="C233" s="5"/>
      <c r="D233" s="5"/>
      <c r="E233" s="11" t="str">
        <f>IF(D233="","",IFERROR(INDEX('Master Produk'!$B$2:$B$101,MATCH(D233,'Master Produk'!$A$2:$A$101,0)),"SKU tidak ada di master"))</f>
        <v/>
      </c>
      <c r="F233" s="6"/>
      <c r="G233" s="12" t="str">
        <f>IF(D233="","",IFERROR(INDEX('Master Produk'!$C$2:$C$101,MATCH(D233,'Master Produk'!$A$2:$A$101,0)),0)+SUMIFS(F$1:F232,D$1:D232,D233))</f>
        <v/>
      </c>
      <c r="H233" s="12" t="str">
        <f t="shared" si="7"/>
        <v/>
      </c>
      <c r="I233" s="5"/>
      <c r="J233" s="5"/>
      <c r="K233" s="11" t="str">
        <f>IF(D233="","",IF(ISNA(MATCH(D233,'Master Produk'!$A$2:$A$101,0)),"SKU tidak ada di master",IF(AND(C233="Stok masuk",F233&lt;0),"Stok masuk harus +",IF(AND(C233="Stok keluar",F233&gt;0),"Stok keluar harus -",IF(H233&lt;0,"Stok negatif","OK")))))</f>
        <v/>
      </c>
    </row>
    <row r="234" spans="1:11" x14ac:dyDescent="0.3">
      <c r="A234" s="9" t="str">
        <f t="shared" si="6"/>
        <v/>
      </c>
      <c r="B234" s="10"/>
      <c r="C234" s="5"/>
      <c r="D234" s="5"/>
      <c r="E234" s="11" t="str">
        <f>IF(D234="","",IFERROR(INDEX('Master Produk'!$B$2:$B$101,MATCH(D234,'Master Produk'!$A$2:$A$101,0)),"SKU tidak ada di master"))</f>
        <v/>
      </c>
      <c r="F234" s="6"/>
      <c r="G234" s="12" t="str">
        <f>IF(D234="","",IFERROR(INDEX('Master Produk'!$C$2:$C$101,MATCH(D234,'Master Produk'!$A$2:$A$101,0)),0)+SUMIFS(F$1:F233,D$1:D233,D234))</f>
        <v/>
      </c>
      <c r="H234" s="12" t="str">
        <f t="shared" si="7"/>
        <v/>
      </c>
      <c r="I234" s="5"/>
      <c r="J234" s="5"/>
      <c r="K234" s="11" t="str">
        <f>IF(D234="","",IF(ISNA(MATCH(D234,'Master Produk'!$A$2:$A$101,0)),"SKU tidak ada di master",IF(AND(C234="Stok masuk",F234&lt;0),"Stok masuk harus +",IF(AND(C234="Stok keluar",F234&gt;0),"Stok keluar harus -",IF(H234&lt;0,"Stok negatif","OK")))))</f>
        <v/>
      </c>
    </row>
    <row r="235" spans="1:11" x14ac:dyDescent="0.3">
      <c r="A235" s="9" t="str">
        <f t="shared" si="6"/>
        <v/>
      </c>
      <c r="B235" s="10"/>
      <c r="C235" s="5"/>
      <c r="D235" s="5"/>
      <c r="E235" s="11" t="str">
        <f>IF(D235="","",IFERROR(INDEX('Master Produk'!$B$2:$B$101,MATCH(D235,'Master Produk'!$A$2:$A$101,0)),"SKU tidak ada di master"))</f>
        <v/>
      </c>
      <c r="F235" s="6"/>
      <c r="G235" s="12" t="str">
        <f>IF(D235="","",IFERROR(INDEX('Master Produk'!$C$2:$C$101,MATCH(D235,'Master Produk'!$A$2:$A$101,0)),0)+SUMIFS(F$1:F234,D$1:D234,D235))</f>
        <v/>
      </c>
      <c r="H235" s="12" t="str">
        <f t="shared" si="7"/>
        <v/>
      </c>
      <c r="I235" s="5"/>
      <c r="J235" s="5"/>
      <c r="K235" s="11" t="str">
        <f>IF(D235="","",IF(ISNA(MATCH(D235,'Master Produk'!$A$2:$A$101,0)),"SKU tidak ada di master",IF(AND(C235="Stok masuk",F235&lt;0),"Stok masuk harus +",IF(AND(C235="Stok keluar",F235&gt;0),"Stok keluar harus -",IF(H235&lt;0,"Stok negatif","OK")))))</f>
        <v/>
      </c>
    </row>
    <row r="236" spans="1:11" x14ac:dyDescent="0.3">
      <c r="A236" s="9" t="str">
        <f t="shared" si="6"/>
        <v/>
      </c>
      <c r="B236" s="10"/>
      <c r="C236" s="5"/>
      <c r="D236" s="5"/>
      <c r="E236" s="11" t="str">
        <f>IF(D236="","",IFERROR(INDEX('Master Produk'!$B$2:$B$101,MATCH(D236,'Master Produk'!$A$2:$A$101,0)),"SKU tidak ada di master"))</f>
        <v/>
      </c>
      <c r="F236" s="6"/>
      <c r="G236" s="12" t="str">
        <f>IF(D236="","",IFERROR(INDEX('Master Produk'!$C$2:$C$101,MATCH(D236,'Master Produk'!$A$2:$A$101,0)),0)+SUMIFS(F$1:F235,D$1:D235,D236))</f>
        <v/>
      </c>
      <c r="H236" s="12" t="str">
        <f t="shared" si="7"/>
        <v/>
      </c>
      <c r="I236" s="5"/>
      <c r="J236" s="5"/>
      <c r="K236" s="11" t="str">
        <f>IF(D236="","",IF(ISNA(MATCH(D236,'Master Produk'!$A$2:$A$101,0)),"SKU tidak ada di master",IF(AND(C236="Stok masuk",F236&lt;0),"Stok masuk harus +",IF(AND(C236="Stok keluar",F236&gt;0),"Stok keluar harus -",IF(H236&lt;0,"Stok negatif","OK")))))</f>
        <v/>
      </c>
    </row>
    <row r="237" spans="1:11" x14ac:dyDescent="0.3">
      <c r="A237" s="9" t="str">
        <f t="shared" si="6"/>
        <v/>
      </c>
      <c r="B237" s="10"/>
      <c r="C237" s="5"/>
      <c r="D237" s="5"/>
      <c r="E237" s="11" t="str">
        <f>IF(D237="","",IFERROR(INDEX('Master Produk'!$B$2:$B$101,MATCH(D237,'Master Produk'!$A$2:$A$101,0)),"SKU tidak ada di master"))</f>
        <v/>
      </c>
      <c r="F237" s="6"/>
      <c r="G237" s="12" t="str">
        <f>IF(D237="","",IFERROR(INDEX('Master Produk'!$C$2:$C$101,MATCH(D237,'Master Produk'!$A$2:$A$101,0)),0)+SUMIFS(F$1:F236,D$1:D236,D237))</f>
        <v/>
      </c>
      <c r="H237" s="12" t="str">
        <f t="shared" si="7"/>
        <v/>
      </c>
      <c r="I237" s="5"/>
      <c r="J237" s="5"/>
      <c r="K237" s="11" t="str">
        <f>IF(D237="","",IF(ISNA(MATCH(D237,'Master Produk'!$A$2:$A$101,0)),"SKU tidak ada di master",IF(AND(C237="Stok masuk",F237&lt;0),"Stok masuk harus +",IF(AND(C237="Stok keluar",F237&gt;0),"Stok keluar harus -",IF(H237&lt;0,"Stok negatif","OK")))))</f>
        <v/>
      </c>
    </row>
    <row r="238" spans="1:11" x14ac:dyDescent="0.3">
      <c r="A238" s="9" t="str">
        <f t="shared" si="6"/>
        <v/>
      </c>
      <c r="B238" s="10"/>
      <c r="C238" s="5"/>
      <c r="D238" s="5"/>
      <c r="E238" s="11" t="str">
        <f>IF(D238="","",IFERROR(INDEX('Master Produk'!$B$2:$B$101,MATCH(D238,'Master Produk'!$A$2:$A$101,0)),"SKU tidak ada di master"))</f>
        <v/>
      </c>
      <c r="F238" s="6"/>
      <c r="G238" s="12" t="str">
        <f>IF(D238="","",IFERROR(INDEX('Master Produk'!$C$2:$C$101,MATCH(D238,'Master Produk'!$A$2:$A$101,0)),0)+SUMIFS(F$1:F237,D$1:D237,D238))</f>
        <v/>
      </c>
      <c r="H238" s="12" t="str">
        <f t="shared" si="7"/>
        <v/>
      </c>
      <c r="I238" s="5"/>
      <c r="J238" s="5"/>
      <c r="K238" s="11" t="str">
        <f>IF(D238="","",IF(ISNA(MATCH(D238,'Master Produk'!$A$2:$A$101,0)),"SKU tidak ada di master",IF(AND(C238="Stok masuk",F238&lt;0),"Stok masuk harus +",IF(AND(C238="Stok keluar",F238&gt;0),"Stok keluar harus -",IF(H238&lt;0,"Stok negatif","OK")))))</f>
        <v/>
      </c>
    </row>
    <row r="239" spans="1:11" x14ac:dyDescent="0.3">
      <c r="A239" s="9" t="str">
        <f t="shared" si="6"/>
        <v/>
      </c>
      <c r="B239" s="10"/>
      <c r="C239" s="5"/>
      <c r="D239" s="5"/>
      <c r="E239" s="11" t="str">
        <f>IF(D239="","",IFERROR(INDEX('Master Produk'!$B$2:$B$101,MATCH(D239,'Master Produk'!$A$2:$A$101,0)),"SKU tidak ada di master"))</f>
        <v/>
      </c>
      <c r="F239" s="6"/>
      <c r="G239" s="12" t="str">
        <f>IF(D239="","",IFERROR(INDEX('Master Produk'!$C$2:$C$101,MATCH(D239,'Master Produk'!$A$2:$A$101,0)),0)+SUMIFS(F$1:F238,D$1:D238,D239))</f>
        <v/>
      </c>
      <c r="H239" s="12" t="str">
        <f t="shared" si="7"/>
        <v/>
      </c>
      <c r="I239" s="5"/>
      <c r="J239" s="5"/>
      <c r="K239" s="11" t="str">
        <f>IF(D239="","",IF(ISNA(MATCH(D239,'Master Produk'!$A$2:$A$101,0)),"SKU tidak ada di master",IF(AND(C239="Stok masuk",F239&lt;0),"Stok masuk harus +",IF(AND(C239="Stok keluar",F239&gt;0),"Stok keluar harus -",IF(H239&lt;0,"Stok negatif","OK")))))</f>
        <v/>
      </c>
    </row>
    <row r="240" spans="1:11" x14ac:dyDescent="0.3">
      <c r="A240" s="9" t="str">
        <f t="shared" si="6"/>
        <v/>
      </c>
      <c r="B240" s="10"/>
      <c r="C240" s="5"/>
      <c r="D240" s="5"/>
      <c r="E240" s="11" t="str">
        <f>IF(D240="","",IFERROR(INDEX('Master Produk'!$B$2:$B$101,MATCH(D240,'Master Produk'!$A$2:$A$101,0)),"SKU tidak ada di master"))</f>
        <v/>
      </c>
      <c r="F240" s="6"/>
      <c r="G240" s="12" t="str">
        <f>IF(D240="","",IFERROR(INDEX('Master Produk'!$C$2:$C$101,MATCH(D240,'Master Produk'!$A$2:$A$101,0)),0)+SUMIFS(F$1:F239,D$1:D239,D240))</f>
        <v/>
      </c>
      <c r="H240" s="12" t="str">
        <f t="shared" si="7"/>
        <v/>
      </c>
      <c r="I240" s="5"/>
      <c r="J240" s="5"/>
      <c r="K240" s="11" t="str">
        <f>IF(D240="","",IF(ISNA(MATCH(D240,'Master Produk'!$A$2:$A$101,0)),"SKU tidak ada di master",IF(AND(C240="Stok masuk",F240&lt;0),"Stok masuk harus +",IF(AND(C240="Stok keluar",F240&gt;0),"Stok keluar harus -",IF(H240&lt;0,"Stok negatif","OK")))))</f>
        <v/>
      </c>
    </row>
    <row r="241" spans="1:11" x14ac:dyDescent="0.3">
      <c r="A241" s="9" t="str">
        <f t="shared" si="6"/>
        <v/>
      </c>
      <c r="B241" s="10"/>
      <c r="C241" s="5"/>
      <c r="D241" s="5"/>
      <c r="E241" s="11" t="str">
        <f>IF(D241="","",IFERROR(INDEX('Master Produk'!$B$2:$B$101,MATCH(D241,'Master Produk'!$A$2:$A$101,0)),"SKU tidak ada di master"))</f>
        <v/>
      </c>
      <c r="F241" s="6"/>
      <c r="G241" s="12" t="str">
        <f>IF(D241="","",IFERROR(INDEX('Master Produk'!$C$2:$C$101,MATCH(D241,'Master Produk'!$A$2:$A$101,0)),0)+SUMIFS(F$1:F240,D$1:D240,D241))</f>
        <v/>
      </c>
      <c r="H241" s="12" t="str">
        <f t="shared" si="7"/>
        <v/>
      </c>
      <c r="I241" s="5"/>
      <c r="J241" s="5"/>
      <c r="K241" s="11" t="str">
        <f>IF(D241="","",IF(ISNA(MATCH(D241,'Master Produk'!$A$2:$A$101,0)),"SKU tidak ada di master",IF(AND(C241="Stok masuk",F241&lt;0),"Stok masuk harus +",IF(AND(C241="Stok keluar",F241&gt;0),"Stok keluar harus -",IF(H241&lt;0,"Stok negatif","OK")))))</f>
        <v/>
      </c>
    </row>
    <row r="242" spans="1:11" x14ac:dyDescent="0.3">
      <c r="A242" s="9" t="str">
        <f t="shared" si="6"/>
        <v/>
      </c>
      <c r="B242" s="10"/>
      <c r="C242" s="5"/>
      <c r="D242" s="5"/>
      <c r="E242" s="11" t="str">
        <f>IF(D242="","",IFERROR(INDEX('Master Produk'!$B$2:$B$101,MATCH(D242,'Master Produk'!$A$2:$A$101,0)),"SKU tidak ada di master"))</f>
        <v/>
      </c>
      <c r="F242" s="6"/>
      <c r="G242" s="12" t="str">
        <f>IF(D242="","",IFERROR(INDEX('Master Produk'!$C$2:$C$101,MATCH(D242,'Master Produk'!$A$2:$A$101,0)),0)+SUMIFS(F$1:F241,D$1:D241,D242))</f>
        <v/>
      </c>
      <c r="H242" s="12" t="str">
        <f t="shared" si="7"/>
        <v/>
      </c>
      <c r="I242" s="5"/>
      <c r="J242" s="5"/>
      <c r="K242" s="11" t="str">
        <f>IF(D242="","",IF(ISNA(MATCH(D242,'Master Produk'!$A$2:$A$101,0)),"SKU tidak ada di master",IF(AND(C242="Stok masuk",F242&lt;0),"Stok masuk harus +",IF(AND(C242="Stok keluar",F242&gt;0),"Stok keluar harus -",IF(H242&lt;0,"Stok negatif","OK")))))</f>
        <v/>
      </c>
    </row>
    <row r="243" spans="1:11" x14ac:dyDescent="0.3">
      <c r="A243" s="9" t="str">
        <f t="shared" si="6"/>
        <v/>
      </c>
      <c r="B243" s="10"/>
      <c r="C243" s="5"/>
      <c r="D243" s="5"/>
      <c r="E243" s="11" t="str">
        <f>IF(D243="","",IFERROR(INDEX('Master Produk'!$B$2:$B$101,MATCH(D243,'Master Produk'!$A$2:$A$101,0)),"SKU tidak ada di master"))</f>
        <v/>
      </c>
      <c r="F243" s="6"/>
      <c r="G243" s="12" t="str">
        <f>IF(D243="","",IFERROR(INDEX('Master Produk'!$C$2:$C$101,MATCH(D243,'Master Produk'!$A$2:$A$101,0)),0)+SUMIFS(F$1:F242,D$1:D242,D243))</f>
        <v/>
      </c>
      <c r="H243" s="12" t="str">
        <f t="shared" si="7"/>
        <v/>
      </c>
      <c r="I243" s="5"/>
      <c r="J243" s="5"/>
      <c r="K243" s="11" t="str">
        <f>IF(D243="","",IF(ISNA(MATCH(D243,'Master Produk'!$A$2:$A$101,0)),"SKU tidak ada di master",IF(AND(C243="Stok masuk",F243&lt;0),"Stok masuk harus +",IF(AND(C243="Stok keluar",F243&gt;0),"Stok keluar harus -",IF(H243&lt;0,"Stok negatif","OK")))))</f>
        <v/>
      </c>
    </row>
    <row r="244" spans="1:11" x14ac:dyDescent="0.3">
      <c r="A244" s="9" t="str">
        <f t="shared" si="6"/>
        <v/>
      </c>
      <c r="B244" s="10"/>
      <c r="C244" s="5"/>
      <c r="D244" s="5"/>
      <c r="E244" s="11" t="str">
        <f>IF(D244="","",IFERROR(INDEX('Master Produk'!$B$2:$B$101,MATCH(D244,'Master Produk'!$A$2:$A$101,0)),"SKU tidak ada di master"))</f>
        <v/>
      </c>
      <c r="F244" s="6"/>
      <c r="G244" s="12" t="str">
        <f>IF(D244="","",IFERROR(INDEX('Master Produk'!$C$2:$C$101,MATCH(D244,'Master Produk'!$A$2:$A$101,0)),0)+SUMIFS(F$1:F243,D$1:D243,D244))</f>
        <v/>
      </c>
      <c r="H244" s="12" t="str">
        <f t="shared" si="7"/>
        <v/>
      </c>
      <c r="I244" s="5"/>
      <c r="J244" s="5"/>
      <c r="K244" s="11" t="str">
        <f>IF(D244="","",IF(ISNA(MATCH(D244,'Master Produk'!$A$2:$A$101,0)),"SKU tidak ada di master",IF(AND(C244="Stok masuk",F244&lt;0),"Stok masuk harus +",IF(AND(C244="Stok keluar",F244&gt;0),"Stok keluar harus -",IF(H244&lt;0,"Stok negatif","OK")))))</f>
        <v/>
      </c>
    </row>
    <row r="245" spans="1:11" x14ac:dyDescent="0.3">
      <c r="A245" s="9" t="str">
        <f t="shared" si="6"/>
        <v/>
      </c>
      <c r="B245" s="10"/>
      <c r="C245" s="5"/>
      <c r="D245" s="5"/>
      <c r="E245" s="11" t="str">
        <f>IF(D245="","",IFERROR(INDEX('Master Produk'!$B$2:$B$101,MATCH(D245,'Master Produk'!$A$2:$A$101,0)),"SKU tidak ada di master"))</f>
        <v/>
      </c>
      <c r="F245" s="6"/>
      <c r="G245" s="12" t="str">
        <f>IF(D245="","",IFERROR(INDEX('Master Produk'!$C$2:$C$101,MATCH(D245,'Master Produk'!$A$2:$A$101,0)),0)+SUMIFS(F$1:F244,D$1:D244,D245))</f>
        <v/>
      </c>
      <c r="H245" s="12" t="str">
        <f t="shared" si="7"/>
        <v/>
      </c>
      <c r="I245" s="5"/>
      <c r="J245" s="5"/>
      <c r="K245" s="11" t="str">
        <f>IF(D245="","",IF(ISNA(MATCH(D245,'Master Produk'!$A$2:$A$101,0)),"SKU tidak ada di master",IF(AND(C245="Stok masuk",F245&lt;0),"Stok masuk harus +",IF(AND(C245="Stok keluar",F245&gt;0),"Stok keluar harus -",IF(H245&lt;0,"Stok negatif","OK")))))</f>
        <v/>
      </c>
    </row>
    <row r="246" spans="1:11" x14ac:dyDescent="0.3">
      <c r="A246" s="9" t="str">
        <f t="shared" si="6"/>
        <v/>
      </c>
      <c r="B246" s="10"/>
      <c r="C246" s="5"/>
      <c r="D246" s="5"/>
      <c r="E246" s="11" t="str">
        <f>IF(D246="","",IFERROR(INDEX('Master Produk'!$B$2:$B$101,MATCH(D246,'Master Produk'!$A$2:$A$101,0)),"SKU tidak ada di master"))</f>
        <v/>
      </c>
      <c r="F246" s="6"/>
      <c r="G246" s="12" t="str">
        <f>IF(D246="","",IFERROR(INDEX('Master Produk'!$C$2:$C$101,MATCH(D246,'Master Produk'!$A$2:$A$101,0)),0)+SUMIFS(F$1:F245,D$1:D245,D246))</f>
        <v/>
      </c>
      <c r="H246" s="12" t="str">
        <f t="shared" si="7"/>
        <v/>
      </c>
      <c r="I246" s="5"/>
      <c r="J246" s="5"/>
      <c r="K246" s="11" t="str">
        <f>IF(D246="","",IF(ISNA(MATCH(D246,'Master Produk'!$A$2:$A$101,0)),"SKU tidak ada di master",IF(AND(C246="Stok masuk",F246&lt;0),"Stok masuk harus +",IF(AND(C246="Stok keluar",F246&gt;0),"Stok keluar harus -",IF(H246&lt;0,"Stok negatif","OK")))))</f>
        <v/>
      </c>
    </row>
    <row r="247" spans="1:11" x14ac:dyDescent="0.3">
      <c r="A247" s="9" t="str">
        <f t="shared" si="6"/>
        <v/>
      </c>
      <c r="B247" s="10"/>
      <c r="C247" s="5"/>
      <c r="D247" s="5"/>
      <c r="E247" s="11" t="str">
        <f>IF(D247="","",IFERROR(INDEX('Master Produk'!$B$2:$B$101,MATCH(D247,'Master Produk'!$A$2:$A$101,0)),"SKU tidak ada di master"))</f>
        <v/>
      </c>
      <c r="F247" s="6"/>
      <c r="G247" s="12" t="str">
        <f>IF(D247="","",IFERROR(INDEX('Master Produk'!$C$2:$C$101,MATCH(D247,'Master Produk'!$A$2:$A$101,0)),0)+SUMIFS(F$1:F246,D$1:D246,D247))</f>
        <v/>
      </c>
      <c r="H247" s="12" t="str">
        <f t="shared" si="7"/>
        <v/>
      </c>
      <c r="I247" s="5"/>
      <c r="J247" s="5"/>
      <c r="K247" s="11" t="str">
        <f>IF(D247="","",IF(ISNA(MATCH(D247,'Master Produk'!$A$2:$A$101,0)),"SKU tidak ada di master",IF(AND(C247="Stok masuk",F247&lt;0),"Stok masuk harus +",IF(AND(C247="Stok keluar",F247&gt;0),"Stok keluar harus -",IF(H247&lt;0,"Stok negatif","OK")))))</f>
        <v/>
      </c>
    </row>
    <row r="248" spans="1:11" x14ac:dyDescent="0.3">
      <c r="A248" s="9" t="str">
        <f t="shared" si="6"/>
        <v/>
      </c>
      <c r="B248" s="10"/>
      <c r="C248" s="5"/>
      <c r="D248" s="5"/>
      <c r="E248" s="11" t="str">
        <f>IF(D248="","",IFERROR(INDEX('Master Produk'!$B$2:$B$101,MATCH(D248,'Master Produk'!$A$2:$A$101,0)),"SKU tidak ada di master"))</f>
        <v/>
      </c>
      <c r="F248" s="6"/>
      <c r="G248" s="12" t="str">
        <f>IF(D248="","",IFERROR(INDEX('Master Produk'!$C$2:$C$101,MATCH(D248,'Master Produk'!$A$2:$A$101,0)),0)+SUMIFS(F$1:F247,D$1:D247,D248))</f>
        <v/>
      </c>
      <c r="H248" s="12" t="str">
        <f t="shared" si="7"/>
        <v/>
      </c>
      <c r="I248" s="5"/>
      <c r="J248" s="5"/>
      <c r="K248" s="11" t="str">
        <f>IF(D248="","",IF(ISNA(MATCH(D248,'Master Produk'!$A$2:$A$101,0)),"SKU tidak ada di master",IF(AND(C248="Stok masuk",F248&lt;0),"Stok masuk harus +",IF(AND(C248="Stok keluar",F248&gt;0),"Stok keluar harus -",IF(H248&lt;0,"Stok negatif","OK")))))</f>
        <v/>
      </c>
    </row>
    <row r="249" spans="1:11" x14ac:dyDescent="0.3">
      <c r="A249" s="9" t="str">
        <f t="shared" si="6"/>
        <v/>
      </c>
      <c r="B249" s="10"/>
      <c r="C249" s="5"/>
      <c r="D249" s="5"/>
      <c r="E249" s="11" t="str">
        <f>IF(D249="","",IFERROR(INDEX('Master Produk'!$B$2:$B$101,MATCH(D249,'Master Produk'!$A$2:$A$101,0)),"SKU tidak ada di master"))</f>
        <v/>
      </c>
      <c r="F249" s="6"/>
      <c r="G249" s="12" t="str">
        <f>IF(D249="","",IFERROR(INDEX('Master Produk'!$C$2:$C$101,MATCH(D249,'Master Produk'!$A$2:$A$101,0)),0)+SUMIFS(F$1:F248,D$1:D248,D249))</f>
        <v/>
      </c>
      <c r="H249" s="12" t="str">
        <f t="shared" si="7"/>
        <v/>
      </c>
      <c r="I249" s="5"/>
      <c r="J249" s="5"/>
      <c r="K249" s="11" t="str">
        <f>IF(D249="","",IF(ISNA(MATCH(D249,'Master Produk'!$A$2:$A$101,0)),"SKU tidak ada di master",IF(AND(C249="Stok masuk",F249&lt;0),"Stok masuk harus +",IF(AND(C249="Stok keluar",F249&gt;0),"Stok keluar harus -",IF(H249&lt;0,"Stok negatif","OK")))))</f>
        <v/>
      </c>
    </row>
    <row r="250" spans="1:11" x14ac:dyDescent="0.3">
      <c r="A250" s="9" t="str">
        <f t="shared" si="6"/>
        <v/>
      </c>
      <c r="B250" s="10"/>
      <c r="C250" s="5"/>
      <c r="D250" s="5"/>
      <c r="E250" s="11" t="str">
        <f>IF(D250="","",IFERROR(INDEX('Master Produk'!$B$2:$B$101,MATCH(D250,'Master Produk'!$A$2:$A$101,0)),"SKU tidak ada di master"))</f>
        <v/>
      </c>
      <c r="F250" s="6"/>
      <c r="G250" s="12" t="str">
        <f>IF(D250="","",IFERROR(INDEX('Master Produk'!$C$2:$C$101,MATCH(D250,'Master Produk'!$A$2:$A$101,0)),0)+SUMIFS(F$1:F249,D$1:D249,D250))</f>
        <v/>
      </c>
      <c r="H250" s="12" t="str">
        <f t="shared" si="7"/>
        <v/>
      </c>
      <c r="I250" s="5"/>
      <c r="J250" s="5"/>
      <c r="K250" s="11" t="str">
        <f>IF(D250="","",IF(ISNA(MATCH(D250,'Master Produk'!$A$2:$A$101,0)),"SKU tidak ada di master",IF(AND(C250="Stok masuk",F250&lt;0),"Stok masuk harus +",IF(AND(C250="Stok keluar",F250&gt;0),"Stok keluar harus -",IF(H250&lt;0,"Stok negatif","OK")))))</f>
        <v/>
      </c>
    </row>
    <row r="251" spans="1:11" x14ac:dyDescent="0.3">
      <c r="A251" s="9" t="str">
        <f t="shared" si="6"/>
        <v/>
      </c>
      <c r="B251" s="10"/>
      <c r="C251" s="5"/>
      <c r="D251" s="5"/>
      <c r="E251" s="11" t="str">
        <f>IF(D251="","",IFERROR(INDEX('Master Produk'!$B$2:$B$101,MATCH(D251,'Master Produk'!$A$2:$A$101,0)),"SKU tidak ada di master"))</f>
        <v/>
      </c>
      <c r="F251" s="6"/>
      <c r="G251" s="12" t="str">
        <f>IF(D251="","",IFERROR(INDEX('Master Produk'!$C$2:$C$101,MATCH(D251,'Master Produk'!$A$2:$A$101,0)),0)+SUMIFS(F$1:F250,D$1:D250,D251))</f>
        <v/>
      </c>
      <c r="H251" s="12" t="str">
        <f t="shared" si="7"/>
        <v/>
      </c>
      <c r="I251" s="5"/>
      <c r="J251" s="5"/>
      <c r="K251" s="11" t="str">
        <f>IF(D251="","",IF(ISNA(MATCH(D251,'Master Produk'!$A$2:$A$101,0)),"SKU tidak ada di master",IF(AND(C251="Stok masuk",F251&lt;0),"Stok masuk harus +",IF(AND(C251="Stok keluar",F251&gt;0),"Stok keluar harus -",IF(H251&lt;0,"Stok negatif","OK")))))</f>
        <v/>
      </c>
    </row>
    <row r="252" spans="1:11" x14ac:dyDescent="0.3">
      <c r="A252" s="9" t="str">
        <f t="shared" si="6"/>
        <v/>
      </c>
      <c r="B252" s="10"/>
      <c r="C252" s="5"/>
      <c r="D252" s="5"/>
      <c r="E252" s="11" t="str">
        <f>IF(D252="","",IFERROR(INDEX('Master Produk'!$B$2:$B$101,MATCH(D252,'Master Produk'!$A$2:$A$101,0)),"SKU tidak ada di master"))</f>
        <v/>
      </c>
      <c r="F252" s="6"/>
      <c r="G252" s="12" t="str">
        <f>IF(D252="","",IFERROR(INDEX('Master Produk'!$C$2:$C$101,MATCH(D252,'Master Produk'!$A$2:$A$101,0)),0)+SUMIFS(F$1:F251,D$1:D251,D252))</f>
        <v/>
      </c>
      <c r="H252" s="12" t="str">
        <f t="shared" si="7"/>
        <v/>
      </c>
      <c r="I252" s="5"/>
      <c r="J252" s="5"/>
      <c r="K252" s="11" t="str">
        <f>IF(D252="","",IF(ISNA(MATCH(D252,'Master Produk'!$A$2:$A$101,0)),"SKU tidak ada di master",IF(AND(C252="Stok masuk",F252&lt;0),"Stok masuk harus +",IF(AND(C252="Stok keluar",F252&gt;0),"Stok keluar harus -",IF(H252&lt;0,"Stok negatif","OK")))))</f>
        <v/>
      </c>
    </row>
    <row r="253" spans="1:11" x14ac:dyDescent="0.3">
      <c r="A253" s="9" t="str">
        <f t="shared" si="6"/>
        <v/>
      </c>
      <c r="B253" s="10"/>
      <c r="C253" s="5"/>
      <c r="D253" s="5"/>
      <c r="E253" s="11" t="str">
        <f>IF(D253="","",IFERROR(INDEX('Master Produk'!$B$2:$B$101,MATCH(D253,'Master Produk'!$A$2:$A$101,0)),"SKU tidak ada di master"))</f>
        <v/>
      </c>
      <c r="F253" s="6"/>
      <c r="G253" s="12" t="str">
        <f>IF(D253="","",IFERROR(INDEX('Master Produk'!$C$2:$C$101,MATCH(D253,'Master Produk'!$A$2:$A$101,0)),0)+SUMIFS(F$1:F252,D$1:D252,D253))</f>
        <v/>
      </c>
      <c r="H253" s="12" t="str">
        <f t="shared" si="7"/>
        <v/>
      </c>
      <c r="I253" s="5"/>
      <c r="J253" s="5"/>
      <c r="K253" s="11" t="str">
        <f>IF(D253="","",IF(ISNA(MATCH(D253,'Master Produk'!$A$2:$A$101,0)),"SKU tidak ada di master",IF(AND(C253="Stok masuk",F253&lt;0),"Stok masuk harus +",IF(AND(C253="Stok keluar",F253&gt;0),"Stok keluar harus -",IF(H253&lt;0,"Stok negatif","OK")))))</f>
        <v/>
      </c>
    </row>
    <row r="254" spans="1:11" x14ac:dyDescent="0.3">
      <c r="A254" s="9" t="str">
        <f t="shared" si="6"/>
        <v/>
      </c>
      <c r="B254" s="10"/>
      <c r="C254" s="5"/>
      <c r="D254" s="5"/>
      <c r="E254" s="11" t="str">
        <f>IF(D254="","",IFERROR(INDEX('Master Produk'!$B$2:$B$101,MATCH(D254,'Master Produk'!$A$2:$A$101,0)),"SKU tidak ada di master"))</f>
        <v/>
      </c>
      <c r="F254" s="6"/>
      <c r="G254" s="12" t="str">
        <f>IF(D254="","",IFERROR(INDEX('Master Produk'!$C$2:$C$101,MATCH(D254,'Master Produk'!$A$2:$A$101,0)),0)+SUMIFS(F$1:F253,D$1:D253,D254))</f>
        <v/>
      </c>
      <c r="H254" s="12" t="str">
        <f t="shared" si="7"/>
        <v/>
      </c>
      <c r="I254" s="5"/>
      <c r="J254" s="5"/>
      <c r="K254" s="11" t="str">
        <f>IF(D254="","",IF(ISNA(MATCH(D254,'Master Produk'!$A$2:$A$101,0)),"SKU tidak ada di master",IF(AND(C254="Stok masuk",F254&lt;0),"Stok masuk harus +",IF(AND(C254="Stok keluar",F254&gt;0),"Stok keluar harus -",IF(H254&lt;0,"Stok negatif","OK")))))</f>
        <v/>
      </c>
    </row>
    <row r="255" spans="1:11" x14ac:dyDescent="0.3">
      <c r="A255" s="9" t="str">
        <f t="shared" si="6"/>
        <v/>
      </c>
      <c r="B255" s="10"/>
      <c r="C255" s="5"/>
      <c r="D255" s="5"/>
      <c r="E255" s="11" t="str">
        <f>IF(D255="","",IFERROR(INDEX('Master Produk'!$B$2:$B$101,MATCH(D255,'Master Produk'!$A$2:$A$101,0)),"SKU tidak ada di master"))</f>
        <v/>
      </c>
      <c r="F255" s="6"/>
      <c r="G255" s="12" t="str">
        <f>IF(D255="","",IFERROR(INDEX('Master Produk'!$C$2:$C$101,MATCH(D255,'Master Produk'!$A$2:$A$101,0)),0)+SUMIFS(F$1:F254,D$1:D254,D255))</f>
        <v/>
      </c>
      <c r="H255" s="12" t="str">
        <f t="shared" si="7"/>
        <v/>
      </c>
      <c r="I255" s="5"/>
      <c r="J255" s="5"/>
      <c r="K255" s="11" t="str">
        <f>IF(D255="","",IF(ISNA(MATCH(D255,'Master Produk'!$A$2:$A$101,0)),"SKU tidak ada di master",IF(AND(C255="Stok masuk",F255&lt;0),"Stok masuk harus +",IF(AND(C255="Stok keluar",F255&gt;0),"Stok keluar harus -",IF(H255&lt;0,"Stok negatif","OK")))))</f>
        <v/>
      </c>
    </row>
    <row r="256" spans="1:11" x14ac:dyDescent="0.3">
      <c r="A256" s="9" t="str">
        <f t="shared" si="6"/>
        <v/>
      </c>
      <c r="B256" s="10"/>
      <c r="C256" s="5"/>
      <c r="D256" s="5"/>
      <c r="E256" s="11" t="str">
        <f>IF(D256="","",IFERROR(INDEX('Master Produk'!$B$2:$B$101,MATCH(D256,'Master Produk'!$A$2:$A$101,0)),"SKU tidak ada di master"))</f>
        <v/>
      </c>
      <c r="F256" s="6"/>
      <c r="G256" s="12" t="str">
        <f>IF(D256="","",IFERROR(INDEX('Master Produk'!$C$2:$C$101,MATCH(D256,'Master Produk'!$A$2:$A$101,0)),0)+SUMIFS(F$1:F255,D$1:D255,D256))</f>
        <v/>
      </c>
      <c r="H256" s="12" t="str">
        <f t="shared" si="7"/>
        <v/>
      </c>
      <c r="I256" s="5"/>
      <c r="J256" s="5"/>
      <c r="K256" s="11" t="str">
        <f>IF(D256="","",IF(ISNA(MATCH(D256,'Master Produk'!$A$2:$A$101,0)),"SKU tidak ada di master",IF(AND(C256="Stok masuk",F256&lt;0),"Stok masuk harus +",IF(AND(C256="Stok keluar",F256&gt;0),"Stok keluar harus -",IF(H256&lt;0,"Stok negatif","OK")))))</f>
        <v/>
      </c>
    </row>
    <row r="257" spans="1:11" x14ac:dyDescent="0.3">
      <c r="A257" s="9" t="str">
        <f t="shared" si="6"/>
        <v/>
      </c>
      <c r="B257" s="10"/>
      <c r="C257" s="5"/>
      <c r="D257" s="5"/>
      <c r="E257" s="11" t="str">
        <f>IF(D257="","",IFERROR(INDEX('Master Produk'!$B$2:$B$101,MATCH(D257,'Master Produk'!$A$2:$A$101,0)),"SKU tidak ada di master"))</f>
        <v/>
      </c>
      <c r="F257" s="6"/>
      <c r="G257" s="12" t="str">
        <f>IF(D257="","",IFERROR(INDEX('Master Produk'!$C$2:$C$101,MATCH(D257,'Master Produk'!$A$2:$A$101,0)),0)+SUMIFS(F$1:F256,D$1:D256,D257))</f>
        <v/>
      </c>
      <c r="H257" s="12" t="str">
        <f t="shared" si="7"/>
        <v/>
      </c>
      <c r="I257" s="5"/>
      <c r="J257" s="5"/>
      <c r="K257" s="11" t="str">
        <f>IF(D257="","",IF(ISNA(MATCH(D257,'Master Produk'!$A$2:$A$101,0)),"SKU tidak ada di master",IF(AND(C257="Stok masuk",F257&lt;0),"Stok masuk harus +",IF(AND(C257="Stok keluar",F257&gt;0),"Stok keluar harus -",IF(H257&lt;0,"Stok negatif","OK")))))</f>
        <v/>
      </c>
    </row>
    <row r="258" spans="1:11" x14ac:dyDescent="0.3">
      <c r="A258" s="9" t="str">
        <f t="shared" ref="A258:A321" si="8">IF(D258="","",ROW()-1)</f>
        <v/>
      </c>
      <c r="B258" s="10"/>
      <c r="C258" s="5"/>
      <c r="D258" s="5"/>
      <c r="E258" s="11" t="str">
        <f>IF(D258="","",IFERROR(INDEX('Master Produk'!$B$2:$B$101,MATCH(D258,'Master Produk'!$A$2:$A$101,0)),"SKU tidak ada di master"))</f>
        <v/>
      </c>
      <c r="F258" s="6"/>
      <c r="G258" s="12" t="str">
        <f>IF(D258="","",IFERROR(INDEX('Master Produk'!$C$2:$C$101,MATCH(D258,'Master Produk'!$A$2:$A$101,0)),0)+SUMIFS(F$1:F257,D$1:D257,D258))</f>
        <v/>
      </c>
      <c r="H258" s="12" t="str">
        <f t="shared" ref="H258:H321" si="9">IF(D258="","",G258+F258)</f>
        <v/>
      </c>
      <c r="I258" s="5"/>
      <c r="J258" s="5"/>
      <c r="K258" s="11" t="str">
        <f>IF(D258="","",IF(ISNA(MATCH(D258,'Master Produk'!$A$2:$A$101,0)),"SKU tidak ada di master",IF(AND(C258="Stok masuk",F258&lt;0),"Stok masuk harus +",IF(AND(C258="Stok keluar",F258&gt;0),"Stok keluar harus -",IF(H258&lt;0,"Stok negatif","OK")))))</f>
        <v/>
      </c>
    </row>
    <row r="259" spans="1:11" x14ac:dyDescent="0.3">
      <c r="A259" s="9" t="str">
        <f t="shared" si="8"/>
        <v/>
      </c>
      <c r="B259" s="10"/>
      <c r="C259" s="5"/>
      <c r="D259" s="5"/>
      <c r="E259" s="11" t="str">
        <f>IF(D259="","",IFERROR(INDEX('Master Produk'!$B$2:$B$101,MATCH(D259,'Master Produk'!$A$2:$A$101,0)),"SKU tidak ada di master"))</f>
        <v/>
      </c>
      <c r="F259" s="6"/>
      <c r="G259" s="12" t="str">
        <f>IF(D259="","",IFERROR(INDEX('Master Produk'!$C$2:$C$101,MATCH(D259,'Master Produk'!$A$2:$A$101,0)),0)+SUMIFS(F$1:F258,D$1:D258,D259))</f>
        <v/>
      </c>
      <c r="H259" s="12" t="str">
        <f t="shared" si="9"/>
        <v/>
      </c>
      <c r="I259" s="5"/>
      <c r="J259" s="5"/>
      <c r="K259" s="11" t="str">
        <f>IF(D259="","",IF(ISNA(MATCH(D259,'Master Produk'!$A$2:$A$101,0)),"SKU tidak ada di master",IF(AND(C259="Stok masuk",F259&lt;0),"Stok masuk harus +",IF(AND(C259="Stok keluar",F259&gt;0),"Stok keluar harus -",IF(H259&lt;0,"Stok negatif","OK")))))</f>
        <v/>
      </c>
    </row>
    <row r="260" spans="1:11" x14ac:dyDescent="0.3">
      <c r="A260" s="9" t="str">
        <f t="shared" si="8"/>
        <v/>
      </c>
      <c r="B260" s="10"/>
      <c r="C260" s="5"/>
      <c r="D260" s="5"/>
      <c r="E260" s="11" t="str">
        <f>IF(D260="","",IFERROR(INDEX('Master Produk'!$B$2:$B$101,MATCH(D260,'Master Produk'!$A$2:$A$101,0)),"SKU tidak ada di master"))</f>
        <v/>
      </c>
      <c r="F260" s="6"/>
      <c r="G260" s="12" t="str">
        <f>IF(D260="","",IFERROR(INDEX('Master Produk'!$C$2:$C$101,MATCH(D260,'Master Produk'!$A$2:$A$101,0)),0)+SUMIFS(F$1:F259,D$1:D259,D260))</f>
        <v/>
      </c>
      <c r="H260" s="12" t="str">
        <f t="shared" si="9"/>
        <v/>
      </c>
      <c r="I260" s="5"/>
      <c r="J260" s="5"/>
      <c r="K260" s="11" t="str">
        <f>IF(D260="","",IF(ISNA(MATCH(D260,'Master Produk'!$A$2:$A$101,0)),"SKU tidak ada di master",IF(AND(C260="Stok masuk",F260&lt;0),"Stok masuk harus +",IF(AND(C260="Stok keluar",F260&gt;0),"Stok keluar harus -",IF(H260&lt;0,"Stok negatif","OK")))))</f>
        <v/>
      </c>
    </row>
    <row r="261" spans="1:11" x14ac:dyDescent="0.3">
      <c r="A261" s="9" t="str">
        <f t="shared" si="8"/>
        <v/>
      </c>
      <c r="B261" s="10"/>
      <c r="C261" s="5"/>
      <c r="D261" s="5"/>
      <c r="E261" s="11" t="str">
        <f>IF(D261="","",IFERROR(INDEX('Master Produk'!$B$2:$B$101,MATCH(D261,'Master Produk'!$A$2:$A$101,0)),"SKU tidak ada di master"))</f>
        <v/>
      </c>
      <c r="F261" s="6"/>
      <c r="G261" s="12" t="str">
        <f>IF(D261="","",IFERROR(INDEX('Master Produk'!$C$2:$C$101,MATCH(D261,'Master Produk'!$A$2:$A$101,0)),0)+SUMIFS(F$1:F260,D$1:D260,D261))</f>
        <v/>
      </c>
      <c r="H261" s="12" t="str">
        <f t="shared" si="9"/>
        <v/>
      </c>
      <c r="I261" s="5"/>
      <c r="J261" s="5"/>
      <c r="K261" s="11" t="str">
        <f>IF(D261="","",IF(ISNA(MATCH(D261,'Master Produk'!$A$2:$A$101,0)),"SKU tidak ada di master",IF(AND(C261="Stok masuk",F261&lt;0),"Stok masuk harus +",IF(AND(C261="Stok keluar",F261&gt;0),"Stok keluar harus -",IF(H261&lt;0,"Stok negatif","OK")))))</f>
        <v/>
      </c>
    </row>
    <row r="262" spans="1:11" x14ac:dyDescent="0.3">
      <c r="A262" s="9" t="str">
        <f t="shared" si="8"/>
        <v/>
      </c>
      <c r="B262" s="10"/>
      <c r="C262" s="5"/>
      <c r="D262" s="5"/>
      <c r="E262" s="11" t="str">
        <f>IF(D262="","",IFERROR(INDEX('Master Produk'!$B$2:$B$101,MATCH(D262,'Master Produk'!$A$2:$A$101,0)),"SKU tidak ada di master"))</f>
        <v/>
      </c>
      <c r="F262" s="6"/>
      <c r="G262" s="12" t="str">
        <f>IF(D262="","",IFERROR(INDEX('Master Produk'!$C$2:$C$101,MATCH(D262,'Master Produk'!$A$2:$A$101,0)),0)+SUMIFS(F$1:F261,D$1:D261,D262))</f>
        <v/>
      </c>
      <c r="H262" s="12" t="str">
        <f t="shared" si="9"/>
        <v/>
      </c>
      <c r="I262" s="5"/>
      <c r="J262" s="5"/>
      <c r="K262" s="11" t="str">
        <f>IF(D262="","",IF(ISNA(MATCH(D262,'Master Produk'!$A$2:$A$101,0)),"SKU tidak ada di master",IF(AND(C262="Stok masuk",F262&lt;0),"Stok masuk harus +",IF(AND(C262="Stok keluar",F262&gt;0),"Stok keluar harus -",IF(H262&lt;0,"Stok negatif","OK")))))</f>
        <v/>
      </c>
    </row>
    <row r="263" spans="1:11" x14ac:dyDescent="0.3">
      <c r="A263" s="9" t="str">
        <f t="shared" si="8"/>
        <v/>
      </c>
      <c r="B263" s="10"/>
      <c r="C263" s="5"/>
      <c r="D263" s="5"/>
      <c r="E263" s="11" t="str">
        <f>IF(D263="","",IFERROR(INDEX('Master Produk'!$B$2:$B$101,MATCH(D263,'Master Produk'!$A$2:$A$101,0)),"SKU tidak ada di master"))</f>
        <v/>
      </c>
      <c r="F263" s="6"/>
      <c r="G263" s="12" t="str">
        <f>IF(D263="","",IFERROR(INDEX('Master Produk'!$C$2:$C$101,MATCH(D263,'Master Produk'!$A$2:$A$101,0)),0)+SUMIFS(F$1:F262,D$1:D262,D263))</f>
        <v/>
      </c>
      <c r="H263" s="12" t="str">
        <f t="shared" si="9"/>
        <v/>
      </c>
      <c r="I263" s="5"/>
      <c r="J263" s="5"/>
      <c r="K263" s="11" t="str">
        <f>IF(D263="","",IF(ISNA(MATCH(D263,'Master Produk'!$A$2:$A$101,0)),"SKU tidak ada di master",IF(AND(C263="Stok masuk",F263&lt;0),"Stok masuk harus +",IF(AND(C263="Stok keluar",F263&gt;0),"Stok keluar harus -",IF(H263&lt;0,"Stok negatif","OK")))))</f>
        <v/>
      </c>
    </row>
    <row r="264" spans="1:11" x14ac:dyDescent="0.3">
      <c r="A264" s="9" t="str">
        <f t="shared" si="8"/>
        <v/>
      </c>
      <c r="B264" s="10"/>
      <c r="C264" s="5"/>
      <c r="D264" s="5"/>
      <c r="E264" s="11" t="str">
        <f>IF(D264="","",IFERROR(INDEX('Master Produk'!$B$2:$B$101,MATCH(D264,'Master Produk'!$A$2:$A$101,0)),"SKU tidak ada di master"))</f>
        <v/>
      </c>
      <c r="F264" s="6"/>
      <c r="G264" s="12" t="str">
        <f>IF(D264="","",IFERROR(INDEX('Master Produk'!$C$2:$C$101,MATCH(D264,'Master Produk'!$A$2:$A$101,0)),0)+SUMIFS(F$1:F263,D$1:D263,D264))</f>
        <v/>
      </c>
      <c r="H264" s="12" t="str">
        <f t="shared" si="9"/>
        <v/>
      </c>
      <c r="I264" s="5"/>
      <c r="J264" s="5"/>
      <c r="K264" s="11" t="str">
        <f>IF(D264="","",IF(ISNA(MATCH(D264,'Master Produk'!$A$2:$A$101,0)),"SKU tidak ada di master",IF(AND(C264="Stok masuk",F264&lt;0),"Stok masuk harus +",IF(AND(C264="Stok keluar",F264&gt;0),"Stok keluar harus -",IF(H264&lt;0,"Stok negatif","OK")))))</f>
        <v/>
      </c>
    </row>
    <row r="265" spans="1:11" x14ac:dyDescent="0.3">
      <c r="A265" s="9" t="str">
        <f t="shared" si="8"/>
        <v/>
      </c>
      <c r="B265" s="10"/>
      <c r="C265" s="5"/>
      <c r="D265" s="5"/>
      <c r="E265" s="11" t="str">
        <f>IF(D265="","",IFERROR(INDEX('Master Produk'!$B$2:$B$101,MATCH(D265,'Master Produk'!$A$2:$A$101,0)),"SKU tidak ada di master"))</f>
        <v/>
      </c>
      <c r="F265" s="6"/>
      <c r="G265" s="12" t="str">
        <f>IF(D265="","",IFERROR(INDEX('Master Produk'!$C$2:$C$101,MATCH(D265,'Master Produk'!$A$2:$A$101,0)),0)+SUMIFS(F$1:F264,D$1:D264,D265))</f>
        <v/>
      </c>
      <c r="H265" s="12" t="str">
        <f t="shared" si="9"/>
        <v/>
      </c>
      <c r="I265" s="5"/>
      <c r="J265" s="5"/>
      <c r="K265" s="11" t="str">
        <f>IF(D265="","",IF(ISNA(MATCH(D265,'Master Produk'!$A$2:$A$101,0)),"SKU tidak ada di master",IF(AND(C265="Stok masuk",F265&lt;0),"Stok masuk harus +",IF(AND(C265="Stok keluar",F265&gt;0),"Stok keluar harus -",IF(H265&lt;0,"Stok negatif","OK")))))</f>
        <v/>
      </c>
    </row>
    <row r="266" spans="1:11" x14ac:dyDescent="0.3">
      <c r="A266" s="9" t="str">
        <f t="shared" si="8"/>
        <v/>
      </c>
      <c r="B266" s="10"/>
      <c r="C266" s="5"/>
      <c r="D266" s="5"/>
      <c r="E266" s="11" t="str">
        <f>IF(D266="","",IFERROR(INDEX('Master Produk'!$B$2:$B$101,MATCH(D266,'Master Produk'!$A$2:$A$101,0)),"SKU tidak ada di master"))</f>
        <v/>
      </c>
      <c r="F266" s="6"/>
      <c r="G266" s="12" t="str">
        <f>IF(D266="","",IFERROR(INDEX('Master Produk'!$C$2:$C$101,MATCH(D266,'Master Produk'!$A$2:$A$101,0)),0)+SUMIFS(F$1:F265,D$1:D265,D266))</f>
        <v/>
      </c>
      <c r="H266" s="12" t="str">
        <f t="shared" si="9"/>
        <v/>
      </c>
      <c r="I266" s="5"/>
      <c r="J266" s="5"/>
      <c r="K266" s="11" t="str">
        <f>IF(D266="","",IF(ISNA(MATCH(D266,'Master Produk'!$A$2:$A$101,0)),"SKU tidak ada di master",IF(AND(C266="Stok masuk",F266&lt;0),"Stok masuk harus +",IF(AND(C266="Stok keluar",F266&gt;0),"Stok keluar harus -",IF(H266&lt;0,"Stok negatif","OK")))))</f>
        <v/>
      </c>
    </row>
    <row r="267" spans="1:11" x14ac:dyDescent="0.3">
      <c r="A267" s="9" t="str">
        <f t="shared" si="8"/>
        <v/>
      </c>
      <c r="B267" s="10"/>
      <c r="C267" s="5"/>
      <c r="D267" s="5"/>
      <c r="E267" s="11" t="str">
        <f>IF(D267="","",IFERROR(INDEX('Master Produk'!$B$2:$B$101,MATCH(D267,'Master Produk'!$A$2:$A$101,0)),"SKU tidak ada di master"))</f>
        <v/>
      </c>
      <c r="F267" s="6"/>
      <c r="G267" s="12" t="str">
        <f>IF(D267="","",IFERROR(INDEX('Master Produk'!$C$2:$C$101,MATCH(D267,'Master Produk'!$A$2:$A$101,0)),0)+SUMIFS(F$1:F266,D$1:D266,D267))</f>
        <v/>
      </c>
      <c r="H267" s="12" t="str">
        <f t="shared" si="9"/>
        <v/>
      </c>
      <c r="I267" s="5"/>
      <c r="J267" s="5"/>
      <c r="K267" s="11" t="str">
        <f>IF(D267="","",IF(ISNA(MATCH(D267,'Master Produk'!$A$2:$A$101,0)),"SKU tidak ada di master",IF(AND(C267="Stok masuk",F267&lt;0),"Stok masuk harus +",IF(AND(C267="Stok keluar",F267&gt;0),"Stok keluar harus -",IF(H267&lt;0,"Stok negatif","OK")))))</f>
        <v/>
      </c>
    </row>
    <row r="268" spans="1:11" x14ac:dyDescent="0.3">
      <c r="A268" s="9" t="str">
        <f t="shared" si="8"/>
        <v/>
      </c>
      <c r="B268" s="10"/>
      <c r="C268" s="5"/>
      <c r="D268" s="5"/>
      <c r="E268" s="11" t="str">
        <f>IF(D268="","",IFERROR(INDEX('Master Produk'!$B$2:$B$101,MATCH(D268,'Master Produk'!$A$2:$A$101,0)),"SKU tidak ada di master"))</f>
        <v/>
      </c>
      <c r="F268" s="6"/>
      <c r="G268" s="12" t="str">
        <f>IF(D268="","",IFERROR(INDEX('Master Produk'!$C$2:$C$101,MATCH(D268,'Master Produk'!$A$2:$A$101,0)),0)+SUMIFS(F$1:F267,D$1:D267,D268))</f>
        <v/>
      </c>
      <c r="H268" s="12" t="str">
        <f t="shared" si="9"/>
        <v/>
      </c>
      <c r="I268" s="5"/>
      <c r="J268" s="5"/>
      <c r="K268" s="11" t="str">
        <f>IF(D268="","",IF(ISNA(MATCH(D268,'Master Produk'!$A$2:$A$101,0)),"SKU tidak ada di master",IF(AND(C268="Stok masuk",F268&lt;0),"Stok masuk harus +",IF(AND(C268="Stok keluar",F268&gt;0),"Stok keluar harus -",IF(H268&lt;0,"Stok negatif","OK")))))</f>
        <v/>
      </c>
    </row>
    <row r="269" spans="1:11" x14ac:dyDescent="0.3">
      <c r="A269" s="9" t="str">
        <f t="shared" si="8"/>
        <v/>
      </c>
      <c r="B269" s="10"/>
      <c r="C269" s="5"/>
      <c r="D269" s="5"/>
      <c r="E269" s="11" t="str">
        <f>IF(D269="","",IFERROR(INDEX('Master Produk'!$B$2:$B$101,MATCH(D269,'Master Produk'!$A$2:$A$101,0)),"SKU tidak ada di master"))</f>
        <v/>
      </c>
      <c r="F269" s="6"/>
      <c r="G269" s="12" t="str">
        <f>IF(D269="","",IFERROR(INDEX('Master Produk'!$C$2:$C$101,MATCH(D269,'Master Produk'!$A$2:$A$101,0)),0)+SUMIFS(F$1:F268,D$1:D268,D269))</f>
        <v/>
      </c>
      <c r="H269" s="12" t="str">
        <f t="shared" si="9"/>
        <v/>
      </c>
      <c r="I269" s="5"/>
      <c r="J269" s="5"/>
      <c r="K269" s="11" t="str">
        <f>IF(D269="","",IF(ISNA(MATCH(D269,'Master Produk'!$A$2:$A$101,0)),"SKU tidak ada di master",IF(AND(C269="Stok masuk",F269&lt;0),"Stok masuk harus +",IF(AND(C269="Stok keluar",F269&gt;0),"Stok keluar harus -",IF(H269&lt;0,"Stok negatif","OK")))))</f>
        <v/>
      </c>
    </row>
    <row r="270" spans="1:11" x14ac:dyDescent="0.3">
      <c r="A270" s="9" t="str">
        <f t="shared" si="8"/>
        <v/>
      </c>
      <c r="B270" s="10"/>
      <c r="C270" s="5"/>
      <c r="D270" s="5"/>
      <c r="E270" s="11" t="str">
        <f>IF(D270="","",IFERROR(INDEX('Master Produk'!$B$2:$B$101,MATCH(D270,'Master Produk'!$A$2:$A$101,0)),"SKU tidak ada di master"))</f>
        <v/>
      </c>
      <c r="F270" s="6"/>
      <c r="G270" s="12" t="str">
        <f>IF(D270="","",IFERROR(INDEX('Master Produk'!$C$2:$C$101,MATCH(D270,'Master Produk'!$A$2:$A$101,0)),0)+SUMIFS(F$1:F269,D$1:D269,D270))</f>
        <v/>
      </c>
      <c r="H270" s="12" t="str">
        <f t="shared" si="9"/>
        <v/>
      </c>
      <c r="I270" s="5"/>
      <c r="J270" s="5"/>
      <c r="K270" s="11" t="str">
        <f>IF(D270="","",IF(ISNA(MATCH(D270,'Master Produk'!$A$2:$A$101,0)),"SKU tidak ada di master",IF(AND(C270="Stok masuk",F270&lt;0),"Stok masuk harus +",IF(AND(C270="Stok keluar",F270&gt;0),"Stok keluar harus -",IF(H270&lt;0,"Stok negatif","OK")))))</f>
        <v/>
      </c>
    </row>
    <row r="271" spans="1:11" x14ac:dyDescent="0.3">
      <c r="A271" s="9" t="str">
        <f t="shared" si="8"/>
        <v/>
      </c>
      <c r="B271" s="10"/>
      <c r="C271" s="5"/>
      <c r="D271" s="5"/>
      <c r="E271" s="11" t="str">
        <f>IF(D271="","",IFERROR(INDEX('Master Produk'!$B$2:$B$101,MATCH(D271,'Master Produk'!$A$2:$A$101,0)),"SKU tidak ada di master"))</f>
        <v/>
      </c>
      <c r="F271" s="6"/>
      <c r="G271" s="12" t="str">
        <f>IF(D271="","",IFERROR(INDEX('Master Produk'!$C$2:$C$101,MATCH(D271,'Master Produk'!$A$2:$A$101,0)),0)+SUMIFS(F$1:F270,D$1:D270,D271))</f>
        <v/>
      </c>
      <c r="H271" s="12" t="str">
        <f t="shared" si="9"/>
        <v/>
      </c>
      <c r="I271" s="5"/>
      <c r="J271" s="5"/>
      <c r="K271" s="11" t="str">
        <f>IF(D271="","",IF(ISNA(MATCH(D271,'Master Produk'!$A$2:$A$101,0)),"SKU tidak ada di master",IF(AND(C271="Stok masuk",F271&lt;0),"Stok masuk harus +",IF(AND(C271="Stok keluar",F271&gt;0),"Stok keluar harus -",IF(H271&lt;0,"Stok negatif","OK")))))</f>
        <v/>
      </c>
    </row>
    <row r="272" spans="1:11" x14ac:dyDescent="0.3">
      <c r="A272" s="9" t="str">
        <f t="shared" si="8"/>
        <v/>
      </c>
      <c r="B272" s="10"/>
      <c r="C272" s="5"/>
      <c r="D272" s="5"/>
      <c r="E272" s="11" t="str">
        <f>IF(D272="","",IFERROR(INDEX('Master Produk'!$B$2:$B$101,MATCH(D272,'Master Produk'!$A$2:$A$101,0)),"SKU tidak ada di master"))</f>
        <v/>
      </c>
      <c r="F272" s="6"/>
      <c r="G272" s="12" t="str">
        <f>IF(D272="","",IFERROR(INDEX('Master Produk'!$C$2:$C$101,MATCH(D272,'Master Produk'!$A$2:$A$101,0)),0)+SUMIFS(F$1:F271,D$1:D271,D272))</f>
        <v/>
      </c>
      <c r="H272" s="12" t="str">
        <f t="shared" si="9"/>
        <v/>
      </c>
      <c r="I272" s="5"/>
      <c r="J272" s="5"/>
      <c r="K272" s="11" t="str">
        <f>IF(D272="","",IF(ISNA(MATCH(D272,'Master Produk'!$A$2:$A$101,0)),"SKU tidak ada di master",IF(AND(C272="Stok masuk",F272&lt;0),"Stok masuk harus +",IF(AND(C272="Stok keluar",F272&gt;0),"Stok keluar harus -",IF(H272&lt;0,"Stok negatif","OK")))))</f>
        <v/>
      </c>
    </row>
    <row r="273" spans="1:11" x14ac:dyDescent="0.3">
      <c r="A273" s="9" t="str">
        <f t="shared" si="8"/>
        <v/>
      </c>
      <c r="B273" s="10"/>
      <c r="C273" s="5"/>
      <c r="D273" s="5"/>
      <c r="E273" s="11" t="str">
        <f>IF(D273="","",IFERROR(INDEX('Master Produk'!$B$2:$B$101,MATCH(D273,'Master Produk'!$A$2:$A$101,0)),"SKU tidak ada di master"))</f>
        <v/>
      </c>
      <c r="F273" s="6"/>
      <c r="G273" s="12" t="str">
        <f>IF(D273="","",IFERROR(INDEX('Master Produk'!$C$2:$C$101,MATCH(D273,'Master Produk'!$A$2:$A$101,0)),0)+SUMIFS(F$1:F272,D$1:D272,D273))</f>
        <v/>
      </c>
      <c r="H273" s="12" t="str">
        <f t="shared" si="9"/>
        <v/>
      </c>
      <c r="I273" s="5"/>
      <c r="J273" s="5"/>
      <c r="K273" s="11" t="str">
        <f>IF(D273="","",IF(ISNA(MATCH(D273,'Master Produk'!$A$2:$A$101,0)),"SKU tidak ada di master",IF(AND(C273="Stok masuk",F273&lt;0),"Stok masuk harus +",IF(AND(C273="Stok keluar",F273&gt;0),"Stok keluar harus -",IF(H273&lt;0,"Stok negatif","OK")))))</f>
        <v/>
      </c>
    </row>
    <row r="274" spans="1:11" x14ac:dyDescent="0.3">
      <c r="A274" s="9" t="str">
        <f t="shared" si="8"/>
        <v/>
      </c>
      <c r="B274" s="10"/>
      <c r="C274" s="5"/>
      <c r="D274" s="5"/>
      <c r="E274" s="11" t="str">
        <f>IF(D274="","",IFERROR(INDEX('Master Produk'!$B$2:$B$101,MATCH(D274,'Master Produk'!$A$2:$A$101,0)),"SKU tidak ada di master"))</f>
        <v/>
      </c>
      <c r="F274" s="6"/>
      <c r="G274" s="12" t="str">
        <f>IF(D274="","",IFERROR(INDEX('Master Produk'!$C$2:$C$101,MATCH(D274,'Master Produk'!$A$2:$A$101,0)),0)+SUMIFS(F$1:F273,D$1:D273,D274))</f>
        <v/>
      </c>
      <c r="H274" s="12" t="str">
        <f t="shared" si="9"/>
        <v/>
      </c>
      <c r="I274" s="5"/>
      <c r="J274" s="5"/>
      <c r="K274" s="11" t="str">
        <f>IF(D274="","",IF(ISNA(MATCH(D274,'Master Produk'!$A$2:$A$101,0)),"SKU tidak ada di master",IF(AND(C274="Stok masuk",F274&lt;0),"Stok masuk harus +",IF(AND(C274="Stok keluar",F274&gt;0),"Stok keluar harus -",IF(H274&lt;0,"Stok negatif","OK")))))</f>
        <v/>
      </c>
    </row>
    <row r="275" spans="1:11" x14ac:dyDescent="0.3">
      <c r="A275" s="9" t="str">
        <f t="shared" si="8"/>
        <v/>
      </c>
      <c r="B275" s="10"/>
      <c r="C275" s="5"/>
      <c r="D275" s="5"/>
      <c r="E275" s="11" t="str">
        <f>IF(D275="","",IFERROR(INDEX('Master Produk'!$B$2:$B$101,MATCH(D275,'Master Produk'!$A$2:$A$101,0)),"SKU tidak ada di master"))</f>
        <v/>
      </c>
      <c r="F275" s="6"/>
      <c r="G275" s="12" t="str">
        <f>IF(D275="","",IFERROR(INDEX('Master Produk'!$C$2:$C$101,MATCH(D275,'Master Produk'!$A$2:$A$101,0)),0)+SUMIFS(F$1:F274,D$1:D274,D275))</f>
        <v/>
      </c>
      <c r="H275" s="12" t="str">
        <f t="shared" si="9"/>
        <v/>
      </c>
      <c r="I275" s="5"/>
      <c r="J275" s="5"/>
      <c r="K275" s="11" t="str">
        <f>IF(D275="","",IF(ISNA(MATCH(D275,'Master Produk'!$A$2:$A$101,0)),"SKU tidak ada di master",IF(AND(C275="Stok masuk",F275&lt;0),"Stok masuk harus +",IF(AND(C275="Stok keluar",F275&gt;0),"Stok keluar harus -",IF(H275&lt;0,"Stok negatif","OK")))))</f>
        <v/>
      </c>
    </row>
    <row r="276" spans="1:11" x14ac:dyDescent="0.3">
      <c r="A276" s="9" t="str">
        <f t="shared" si="8"/>
        <v/>
      </c>
      <c r="B276" s="10"/>
      <c r="C276" s="5"/>
      <c r="D276" s="5"/>
      <c r="E276" s="11" t="str">
        <f>IF(D276="","",IFERROR(INDEX('Master Produk'!$B$2:$B$101,MATCH(D276,'Master Produk'!$A$2:$A$101,0)),"SKU tidak ada di master"))</f>
        <v/>
      </c>
      <c r="F276" s="6"/>
      <c r="G276" s="12" t="str">
        <f>IF(D276="","",IFERROR(INDEX('Master Produk'!$C$2:$C$101,MATCH(D276,'Master Produk'!$A$2:$A$101,0)),0)+SUMIFS(F$1:F275,D$1:D275,D276))</f>
        <v/>
      </c>
      <c r="H276" s="12" t="str">
        <f t="shared" si="9"/>
        <v/>
      </c>
      <c r="I276" s="5"/>
      <c r="J276" s="5"/>
      <c r="K276" s="11" t="str">
        <f>IF(D276="","",IF(ISNA(MATCH(D276,'Master Produk'!$A$2:$A$101,0)),"SKU tidak ada di master",IF(AND(C276="Stok masuk",F276&lt;0),"Stok masuk harus +",IF(AND(C276="Stok keluar",F276&gt;0),"Stok keluar harus -",IF(H276&lt;0,"Stok negatif","OK")))))</f>
        <v/>
      </c>
    </row>
    <row r="277" spans="1:11" x14ac:dyDescent="0.3">
      <c r="A277" s="9" t="str">
        <f t="shared" si="8"/>
        <v/>
      </c>
      <c r="B277" s="10"/>
      <c r="C277" s="5"/>
      <c r="D277" s="5"/>
      <c r="E277" s="11" t="str">
        <f>IF(D277="","",IFERROR(INDEX('Master Produk'!$B$2:$B$101,MATCH(D277,'Master Produk'!$A$2:$A$101,0)),"SKU tidak ada di master"))</f>
        <v/>
      </c>
      <c r="F277" s="6"/>
      <c r="G277" s="12" t="str">
        <f>IF(D277="","",IFERROR(INDEX('Master Produk'!$C$2:$C$101,MATCH(D277,'Master Produk'!$A$2:$A$101,0)),0)+SUMIFS(F$1:F276,D$1:D276,D277))</f>
        <v/>
      </c>
      <c r="H277" s="12" t="str">
        <f t="shared" si="9"/>
        <v/>
      </c>
      <c r="I277" s="5"/>
      <c r="J277" s="5"/>
      <c r="K277" s="11" t="str">
        <f>IF(D277="","",IF(ISNA(MATCH(D277,'Master Produk'!$A$2:$A$101,0)),"SKU tidak ada di master",IF(AND(C277="Stok masuk",F277&lt;0),"Stok masuk harus +",IF(AND(C277="Stok keluar",F277&gt;0),"Stok keluar harus -",IF(H277&lt;0,"Stok negatif","OK")))))</f>
        <v/>
      </c>
    </row>
    <row r="278" spans="1:11" x14ac:dyDescent="0.3">
      <c r="A278" s="9" t="str">
        <f t="shared" si="8"/>
        <v/>
      </c>
      <c r="B278" s="10"/>
      <c r="C278" s="5"/>
      <c r="D278" s="5"/>
      <c r="E278" s="11" t="str">
        <f>IF(D278="","",IFERROR(INDEX('Master Produk'!$B$2:$B$101,MATCH(D278,'Master Produk'!$A$2:$A$101,0)),"SKU tidak ada di master"))</f>
        <v/>
      </c>
      <c r="F278" s="6"/>
      <c r="G278" s="12" t="str">
        <f>IF(D278="","",IFERROR(INDEX('Master Produk'!$C$2:$C$101,MATCH(D278,'Master Produk'!$A$2:$A$101,0)),0)+SUMIFS(F$1:F277,D$1:D277,D278))</f>
        <v/>
      </c>
      <c r="H278" s="12" t="str">
        <f t="shared" si="9"/>
        <v/>
      </c>
      <c r="I278" s="5"/>
      <c r="J278" s="5"/>
      <c r="K278" s="11" t="str">
        <f>IF(D278="","",IF(ISNA(MATCH(D278,'Master Produk'!$A$2:$A$101,0)),"SKU tidak ada di master",IF(AND(C278="Stok masuk",F278&lt;0),"Stok masuk harus +",IF(AND(C278="Stok keluar",F278&gt;0),"Stok keluar harus -",IF(H278&lt;0,"Stok negatif","OK")))))</f>
        <v/>
      </c>
    </row>
    <row r="279" spans="1:11" x14ac:dyDescent="0.3">
      <c r="A279" s="9" t="str">
        <f t="shared" si="8"/>
        <v/>
      </c>
      <c r="B279" s="10"/>
      <c r="C279" s="5"/>
      <c r="D279" s="5"/>
      <c r="E279" s="11" t="str">
        <f>IF(D279="","",IFERROR(INDEX('Master Produk'!$B$2:$B$101,MATCH(D279,'Master Produk'!$A$2:$A$101,0)),"SKU tidak ada di master"))</f>
        <v/>
      </c>
      <c r="F279" s="6"/>
      <c r="G279" s="12" t="str">
        <f>IF(D279="","",IFERROR(INDEX('Master Produk'!$C$2:$C$101,MATCH(D279,'Master Produk'!$A$2:$A$101,0)),0)+SUMIFS(F$1:F278,D$1:D278,D279))</f>
        <v/>
      </c>
      <c r="H279" s="12" t="str">
        <f t="shared" si="9"/>
        <v/>
      </c>
      <c r="I279" s="5"/>
      <c r="J279" s="5"/>
      <c r="K279" s="11" t="str">
        <f>IF(D279="","",IF(ISNA(MATCH(D279,'Master Produk'!$A$2:$A$101,0)),"SKU tidak ada di master",IF(AND(C279="Stok masuk",F279&lt;0),"Stok masuk harus +",IF(AND(C279="Stok keluar",F279&gt;0),"Stok keluar harus -",IF(H279&lt;0,"Stok negatif","OK")))))</f>
        <v/>
      </c>
    </row>
    <row r="280" spans="1:11" x14ac:dyDescent="0.3">
      <c r="A280" s="9" t="str">
        <f t="shared" si="8"/>
        <v/>
      </c>
      <c r="B280" s="10"/>
      <c r="C280" s="5"/>
      <c r="D280" s="5"/>
      <c r="E280" s="11" t="str">
        <f>IF(D280="","",IFERROR(INDEX('Master Produk'!$B$2:$B$101,MATCH(D280,'Master Produk'!$A$2:$A$101,0)),"SKU tidak ada di master"))</f>
        <v/>
      </c>
      <c r="F280" s="6"/>
      <c r="G280" s="12" t="str">
        <f>IF(D280="","",IFERROR(INDEX('Master Produk'!$C$2:$C$101,MATCH(D280,'Master Produk'!$A$2:$A$101,0)),0)+SUMIFS(F$1:F279,D$1:D279,D280))</f>
        <v/>
      </c>
      <c r="H280" s="12" t="str">
        <f t="shared" si="9"/>
        <v/>
      </c>
      <c r="I280" s="5"/>
      <c r="J280" s="5"/>
      <c r="K280" s="11" t="str">
        <f>IF(D280="","",IF(ISNA(MATCH(D280,'Master Produk'!$A$2:$A$101,0)),"SKU tidak ada di master",IF(AND(C280="Stok masuk",F280&lt;0),"Stok masuk harus +",IF(AND(C280="Stok keluar",F280&gt;0),"Stok keluar harus -",IF(H280&lt;0,"Stok negatif","OK")))))</f>
        <v/>
      </c>
    </row>
    <row r="281" spans="1:11" x14ac:dyDescent="0.3">
      <c r="A281" s="9" t="str">
        <f t="shared" si="8"/>
        <v/>
      </c>
      <c r="B281" s="10"/>
      <c r="C281" s="5"/>
      <c r="D281" s="5"/>
      <c r="E281" s="11" t="str">
        <f>IF(D281="","",IFERROR(INDEX('Master Produk'!$B$2:$B$101,MATCH(D281,'Master Produk'!$A$2:$A$101,0)),"SKU tidak ada di master"))</f>
        <v/>
      </c>
      <c r="F281" s="6"/>
      <c r="G281" s="12" t="str">
        <f>IF(D281="","",IFERROR(INDEX('Master Produk'!$C$2:$C$101,MATCH(D281,'Master Produk'!$A$2:$A$101,0)),0)+SUMIFS(F$1:F280,D$1:D280,D281))</f>
        <v/>
      </c>
      <c r="H281" s="12" t="str">
        <f t="shared" si="9"/>
        <v/>
      </c>
      <c r="I281" s="5"/>
      <c r="J281" s="5"/>
      <c r="K281" s="11" t="str">
        <f>IF(D281="","",IF(ISNA(MATCH(D281,'Master Produk'!$A$2:$A$101,0)),"SKU tidak ada di master",IF(AND(C281="Stok masuk",F281&lt;0),"Stok masuk harus +",IF(AND(C281="Stok keluar",F281&gt;0),"Stok keluar harus -",IF(H281&lt;0,"Stok negatif","OK")))))</f>
        <v/>
      </c>
    </row>
    <row r="282" spans="1:11" x14ac:dyDescent="0.3">
      <c r="A282" s="9" t="str">
        <f t="shared" si="8"/>
        <v/>
      </c>
      <c r="B282" s="10"/>
      <c r="C282" s="5"/>
      <c r="D282" s="5"/>
      <c r="E282" s="11" t="str">
        <f>IF(D282="","",IFERROR(INDEX('Master Produk'!$B$2:$B$101,MATCH(D282,'Master Produk'!$A$2:$A$101,0)),"SKU tidak ada di master"))</f>
        <v/>
      </c>
      <c r="F282" s="6"/>
      <c r="G282" s="12" t="str">
        <f>IF(D282="","",IFERROR(INDEX('Master Produk'!$C$2:$C$101,MATCH(D282,'Master Produk'!$A$2:$A$101,0)),0)+SUMIFS(F$1:F281,D$1:D281,D282))</f>
        <v/>
      </c>
      <c r="H282" s="12" t="str">
        <f t="shared" si="9"/>
        <v/>
      </c>
      <c r="I282" s="5"/>
      <c r="J282" s="5"/>
      <c r="K282" s="11" t="str">
        <f>IF(D282="","",IF(ISNA(MATCH(D282,'Master Produk'!$A$2:$A$101,0)),"SKU tidak ada di master",IF(AND(C282="Stok masuk",F282&lt;0),"Stok masuk harus +",IF(AND(C282="Stok keluar",F282&gt;0),"Stok keluar harus -",IF(H282&lt;0,"Stok negatif","OK")))))</f>
        <v/>
      </c>
    </row>
    <row r="283" spans="1:11" x14ac:dyDescent="0.3">
      <c r="A283" s="9" t="str">
        <f t="shared" si="8"/>
        <v/>
      </c>
      <c r="B283" s="10"/>
      <c r="C283" s="5"/>
      <c r="D283" s="5"/>
      <c r="E283" s="11" t="str">
        <f>IF(D283="","",IFERROR(INDEX('Master Produk'!$B$2:$B$101,MATCH(D283,'Master Produk'!$A$2:$A$101,0)),"SKU tidak ada di master"))</f>
        <v/>
      </c>
      <c r="F283" s="6"/>
      <c r="G283" s="12" t="str">
        <f>IF(D283="","",IFERROR(INDEX('Master Produk'!$C$2:$C$101,MATCH(D283,'Master Produk'!$A$2:$A$101,0)),0)+SUMIFS(F$1:F282,D$1:D282,D283))</f>
        <v/>
      </c>
      <c r="H283" s="12" t="str">
        <f t="shared" si="9"/>
        <v/>
      </c>
      <c r="I283" s="5"/>
      <c r="J283" s="5"/>
      <c r="K283" s="11" t="str">
        <f>IF(D283="","",IF(ISNA(MATCH(D283,'Master Produk'!$A$2:$A$101,0)),"SKU tidak ada di master",IF(AND(C283="Stok masuk",F283&lt;0),"Stok masuk harus +",IF(AND(C283="Stok keluar",F283&gt;0),"Stok keluar harus -",IF(H283&lt;0,"Stok negatif","OK")))))</f>
        <v/>
      </c>
    </row>
    <row r="284" spans="1:11" x14ac:dyDescent="0.3">
      <c r="A284" s="9" t="str">
        <f t="shared" si="8"/>
        <v/>
      </c>
      <c r="B284" s="10"/>
      <c r="C284" s="5"/>
      <c r="D284" s="5"/>
      <c r="E284" s="11" t="str">
        <f>IF(D284="","",IFERROR(INDEX('Master Produk'!$B$2:$B$101,MATCH(D284,'Master Produk'!$A$2:$A$101,0)),"SKU tidak ada di master"))</f>
        <v/>
      </c>
      <c r="F284" s="6"/>
      <c r="G284" s="12" t="str">
        <f>IF(D284="","",IFERROR(INDEX('Master Produk'!$C$2:$C$101,MATCH(D284,'Master Produk'!$A$2:$A$101,0)),0)+SUMIFS(F$1:F283,D$1:D283,D284))</f>
        <v/>
      </c>
      <c r="H284" s="12" t="str">
        <f t="shared" si="9"/>
        <v/>
      </c>
      <c r="I284" s="5"/>
      <c r="J284" s="5"/>
      <c r="K284" s="11" t="str">
        <f>IF(D284="","",IF(ISNA(MATCH(D284,'Master Produk'!$A$2:$A$101,0)),"SKU tidak ada di master",IF(AND(C284="Stok masuk",F284&lt;0),"Stok masuk harus +",IF(AND(C284="Stok keluar",F284&gt;0),"Stok keluar harus -",IF(H284&lt;0,"Stok negatif","OK")))))</f>
        <v/>
      </c>
    </row>
    <row r="285" spans="1:11" x14ac:dyDescent="0.3">
      <c r="A285" s="9" t="str">
        <f t="shared" si="8"/>
        <v/>
      </c>
      <c r="B285" s="10"/>
      <c r="C285" s="5"/>
      <c r="D285" s="5"/>
      <c r="E285" s="11" t="str">
        <f>IF(D285="","",IFERROR(INDEX('Master Produk'!$B$2:$B$101,MATCH(D285,'Master Produk'!$A$2:$A$101,0)),"SKU tidak ada di master"))</f>
        <v/>
      </c>
      <c r="F285" s="6"/>
      <c r="G285" s="12" t="str">
        <f>IF(D285="","",IFERROR(INDEX('Master Produk'!$C$2:$C$101,MATCH(D285,'Master Produk'!$A$2:$A$101,0)),0)+SUMIFS(F$1:F284,D$1:D284,D285))</f>
        <v/>
      </c>
      <c r="H285" s="12" t="str">
        <f t="shared" si="9"/>
        <v/>
      </c>
      <c r="I285" s="5"/>
      <c r="J285" s="5"/>
      <c r="K285" s="11" t="str">
        <f>IF(D285="","",IF(ISNA(MATCH(D285,'Master Produk'!$A$2:$A$101,0)),"SKU tidak ada di master",IF(AND(C285="Stok masuk",F285&lt;0),"Stok masuk harus +",IF(AND(C285="Stok keluar",F285&gt;0),"Stok keluar harus -",IF(H285&lt;0,"Stok negatif","OK")))))</f>
        <v/>
      </c>
    </row>
    <row r="286" spans="1:11" x14ac:dyDescent="0.3">
      <c r="A286" s="9" t="str">
        <f t="shared" si="8"/>
        <v/>
      </c>
      <c r="B286" s="10"/>
      <c r="C286" s="5"/>
      <c r="D286" s="5"/>
      <c r="E286" s="11" t="str">
        <f>IF(D286="","",IFERROR(INDEX('Master Produk'!$B$2:$B$101,MATCH(D286,'Master Produk'!$A$2:$A$101,0)),"SKU tidak ada di master"))</f>
        <v/>
      </c>
      <c r="F286" s="6"/>
      <c r="G286" s="12" t="str">
        <f>IF(D286="","",IFERROR(INDEX('Master Produk'!$C$2:$C$101,MATCH(D286,'Master Produk'!$A$2:$A$101,0)),0)+SUMIFS(F$1:F285,D$1:D285,D286))</f>
        <v/>
      </c>
      <c r="H286" s="12" t="str">
        <f t="shared" si="9"/>
        <v/>
      </c>
      <c r="I286" s="5"/>
      <c r="J286" s="5"/>
      <c r="K286" s="11" t="str">
        <f>IF(D286="","",IF(ISNA(MATCH(D286,'Master Produk'!$A$2:$A$101,0)),"SKU tidak ada di master",IF(AND(C286="Stok masuk",F286&lt;0),"Stok masuk harus +",IF(AND(C286="Stok keluar",F286&gt;0),"Stok keluar harus -",IF(H286&lt;0,"Stok negatif","OK")))))</f>
        <v/>
      </c>
    </row>
    <row r="287" spans="1:11" x14ac:dyDescent="0.3">
      <c r="A287" s="9" t="str">
        <f t="shared" si="8"/>
        <v/>
      </c>
      <c r="B287" s="10"/>
      <c r="C287" s="5"/>
      <c r="D287" s="5"/>
      <c r="E287" s="11" t="str">
        <f>IF(D287="","",IFERROR(INDEX('Master Produk'!$B$2:$B$101,MATCH(D287,'Master Produk'!$A$2:$A$101,0)),"SKU tidak ada di master"))</f>
        <v/>
      </c>
      <c r="F287" s="6"/>
      <c r="G287" s="12" t="str">
        <f>IF(D287="","",IFERROR(INDEX('Master Produk'!$C$2:$C$101,MATCH(D287,'Master Produk'!$A$2:$A$101,0)),0)+SUMIFS(F$1:F286,D$1:D286,D287))</f>
        <v/>
      </c>
      <c r="H287" s="12" t="str">
        <f t="shared" si="9"/>
        <v/>
      </c>
      <c r="I287" s="5"/>
      <c r="J287" s="5"/>
      <c r="K287" s="11" t="str">
        <f>IF(D287="","",IF(ISNA(MATCH(D287,'Master Produk'!$A$2:$A$101,0)),"SKU tidak ada di master",IF(AND(C287="Stok masuk",F287&lt;0),"Stok masuk harus +",IF(AND(C287="Stok keluar",F287&gt;0),"Stok keluar harus -",IF(H287&lt;0,"Stok negatif","OK")))))</f>
        <v/>
      </c>
    </row>
    <row r="288" spans="1:11" x14ac:dyDescent="0.3">
      <c r="A288" s="9" t="str">
        <f t="shared" si="8"/>
        <v/>
      </c>
      <c r="B288" s="10"/>
      <c r="C288" s="5"/>
      <c r="D288" s="5"/>
      <c r="E288" s="11" t="str">
        <f>IF(D288="","",IFERROR(INDEX('Master Produk'!$B$2:$B$101,MATCH(D288,'Master Produk'!$A$2:$A$101,0)),"SKU tidak ada di master"))</f>
        <v/>
      </c>
      <c r="F288" s="6"/>
      <c r="G288" s="12" t="str">
        <f>IF(D288="","",IFERROR(INDEX('Master Produk'!$C$2:$C$101,MATCH(D288,'Master Produk'!$A$2:$A$101,0)),0)+SUMIFS(F$1:F287,D$1:D287,D288))</f>
        <v/>
      </c>
      <c r="H288" s="12" t="str">
        <f t="shared" si="9"/>
        <v/>
      </c>
      <c r="I288" s="5"/>
      <c r="J288" s="5"/>
      <c r="K288" s="11" t="str">
        <f>IF(D288="","",IF(ISNA(MATCH(D288,'Master Produk'!$A$2:$A$101,0)),"SKU tidak ada di master",IF(AND(C288="Stok masuk",F288&lt;0),"Stok masuk harus +",IF(AND(C288="Stok keluar",F288&gt;0),"Stok keluar harus -",IF(H288&lt;0,"Stok negatif","OK")))))</f>
        <v/>
      </c>
    </row>
    <row r="289" spans="1:11" x14ac:dyDescent="0.3">
      <c r="A289" s="9" t="str">
        <f t="shared" si="8"/>
        <v/>
      </c>
      <c r="B289" s="10"/>
      <c r="C289" s="5"/>
      <c r="D289" s="5"/>
      <c r="E289" s="11" t="str">
        <f>IF(D289="","",IFERROR(INDEX('Master Produk'!$B$2:$B$101,MATCH(D289,'Master Produk'!$A$2:$A$101,0)),"SKU tidak ada di master"))</f>
        <v/>
      </c>
      <c r="F289" s="6"/>
      <c r="G289" s="12" t="str">
        <f>IF(D289="","",IFERROR(INDEX('Master Produk'!$C$2:$C$101,MATCH(D289,'Master Produk'!$A$2:$A$101,0)),0)+SUMIFS(F$1:F288,D$1:D288,D289))</f>
        <v/>
      </c>
      <c r="H289" s="12" t="str">
        <f t="shared" si="9"/>
        <v/>
      </c>
      <c r="I289" s="5"/>
      <c r="J289" s="5"/>
      <c r="K289" s="11" t="str">
        <f>IF(D289="","",IF(ISNA(MATCH(D289,'Master Produk'!$A$2:$A$101,0)),"SKU tidak ada di master",IF(AND(C289="Stok masuk",F289&lt;0),"Stok masuk harus +",IF(AND(C289="Stok keluar",F289&gt;0),"Stok keluar harus -",IF(H289&lt;0,"Stok negatif","OK")))))</f>
        <v/>
      </c>
    </row>
    <row r="290" spans="1:11" x14ac:dyDescent="0.3">
      <c r="A290" s="9" t="str">
        <f t="shared" si="8"/>
        <v/>
      </c>
      <c r="B290" s="10"/>
      <c r="C290" s="5"/>
      <c r="D290" s="5"/>
      <c r="E290" s="11" t="str">
        <f>IF(D290="","",IFERROR(INDEX('Master Produk'!$B$2:$B$101,MATCH(D290,'Master Produk'!$A$2:$A$101,0)),"SKU tidak ada di master"))</f>
        <v/>
      </c>
      <c r="F290" s="6"/>
      <c r="G290" s="12" t="str">
        <f>IF(D290="","",IFERROR(INDEX('Master Produk'!$C$2:$C$101,MATCH(D290,'Master Produk'!$A$2:$A$101,0)),0)+SUMIFS(F$1:F289,D$1:D289,D290))</f>
        <v/>
      </c>
      <c r="H290" s="12" t="str">
        <f t="shared" si="9"/>
        <v/>
      </c>
      <c r="I290" s="5"/>
      <c r="J290" s="5"/>
      <c r="K290" s="11" t="str">
        <f>IF(D290="","",IF(ISNA(MATCH(D290,'Master Produk'!$A$2:$A$101,0)),"SKU tidak ada di master",IF(AND(C290="Stok masuk",F290&lt;0),"Stok masuk harus +",IF(AND(C290="Stok keluar",F290&gt;0),"Stok keluar harus -",IF(H290&lt;0,"Stok negatif","OK")))))</f>
        <v/>
      </c>
    </row>
    <row r="291" spans="1:11" x14ac:dyDescent="0.3">
      <c r="A291" s="9" t="str">
        <f t="shared" si="8"/>
        <v/>
      </c>
      <c r="B291" s="10"/>
      <c r="C291" s="5"/>
      <c r="D291" s="5"/>
      <c r="E291" s="11" t="str">
        <f>IF(D291="","",IFERROR(INDEX('Master Produk'!$B$2:$B$101,MATCH(D291,'Master Produk'!$A$2:$A$101,0)),"SKU tidak ada di master"))</f>
        <v/>
      </c>
      <c r="F291" s="6"/>
      <c r="G291" s="12" t="str">
        <f>IF(D291="","",IFERROR(INDEX('Master Produk'!$C$2:$C$101,MATCH(D291,'Master Produk'!$A$2:$A$101,0)),0)+SUMIFS(F$1:F290,D$1:D290,D291))</f>
        <v/>
      </c>
      <c r="H291" s="12" t="str">
        <f t="shared" si="9"/>
        <v/>
      </c>
      <c r="I291" s="5"/>
      <c r="J291" s="5"/>
      <c r="K291" s="11" t="str">
        <f>IF(D291="","",IF(ISNA(MATCH(D291,'Master Produk'!$A$2:$A$101,0)),"SKU tidak ada di master",IF(AND(C291="Stok masuk",F291&lt;0),"Stok masuk harus +",IF(AND(C291="Stok keluar",F291&gt;0),"Stok keluar harus -",IF(H291&lt;0,"Stok negatif","OK")))))</f>
        <v/>
      </c>
    </row>
    <row r="292" spans="1:11" x14ac:dyDescent="0.3">
      <c r="A292" s="9" t="str">
        <f t="shared" si="8"/>
        <v/>
      </c>
      <c r="B292" s="10"/>
      <c r="C292" s="5"/>
      <c r="D292" s="5"/>
      <c r="E292" s="11" t="str">
        <f>IF(D292="","",IFERROR(INDEX('Master Produk'!$B$2:$B$101,MATCH(D292,'Master Produk'!$A$2:$A$101,0)),"SKU tidak ada di master"))</f>
        <v/>
      </c>
      <c r="F292" s="6"/>
      <c r="G292" s="12" t="str">
        <f>IF(D292="","",IFERROR(INDEX('Master Produk'!$C$2:$C$101,MATCH(D292,'Master Produk'!$A$2:$A$101,0)),0)+SUMIFS(F$1:F291,D$1:D291,D292))</f>
        <v/>
      </c>
      <c r="H292" s="12" t="str">
        <f t="shared" si="9"/>
        <v/>
      </c>
      <c r="I292" s="5"/>
      <c r="J292" s="5"/>
      <c r="K292" s="11" t="str">
        <f>IF(D292="","",IF(ISNA(MATCH(D292,'Master Produk'!$A$2:$A$101,0)),"SKU tidak ada di master",IF(AND(C292="Stok masuk",F292&lt;0),"Stok masuk harus +",IF(AND(C292="Stok keluar",F292&gt;0),"Stok keluar harus -",IF(H292&lt;0,"Stok negatif","OK")))))</f>
        <v/>
      </c>
    </row>
    <row r="293" spans="1:11" x14ac:dyDescent="0.3">
      <c r="A293" s="9" t="str">
        <f t="shared" si="8"/>
        <v/>
      </c>
      <c r="B293" s="10"/>
      <c r="C293" s="5"/>
      <c r="D293" s="5"/>
      <c r="E293" s="11" t="str">
        <f>IF(D293="","",IFERROR(INDEX('Master Produk'!$B$2:$B$101,MATCH(D293,'Master Produk'!$A$2:$A$101,0)),"SKU tidak ada di master"))</f>
        <v/>
      </c>
      <c r="F293" s="6"/>
      <c r="G293" s="12" t="str">
        <f>IF(D293="","",IFERROR(INDEX('Master Produk'!$C$2:$C$101,MATCH(D293,'Master Produk'!$A$2:$A$101,0)),0)+SUMIFS(F$1:F292,D$1:D292,D293))</f>
        <v/>
      </c>
      <c r="H293" s="12" t="str">
        <f t="shared" si="9"/>
        <v/>
      </c>
      <c r="I293" s="5"/>
      <c r="J293" s="5"/>
      <c r="K293" s="11" t="str">
        <f>IF(D293="","",IF(ISNA(MATCH(D293,'Master Produk'!$A$2:$A$101,0)),"SKU tidak ada di master",IF(AND(C293="Stok masuk",F293&lt;0),"Stok masuk harus +",IF(AND(C293="Stok keluar",F293&gt;0),"Stok keluar harus -",IF(H293&lt;0,"Stok negatif","OK")))))</f>
        <v/>
      </c>
    </row>
    <row r="294" spans="1:11" x14ac:dyDescent="0.3">
      <c r="A294" s="9" t="str">
        <f t="shared" si="8"/>
        <v/>
      </c>
      <c r="B294" s="10"/>
      <c r="C294" s="5"/>
      <c r="D294" s="5"/>
      <c r="E294" s="11" t="str">
        <f>IF(D294="","",IFERROR(INDEX('Master Produk'!$B$2:$B$101,MATCH(D294,'Master Produk'!$A$2:$A$101,0)),"SKU tidak ada di master"))</f>
        <v/>
      </c>
      <c r="F294" s="6"/>
      <c r="G294" s="12" t="str">
        <f>IF(D294="","",IFERROR(INDEX('Master Produk'!$C$2:$C$101,MATCH(D294,'Master Produk'!$A$2:$A$101,0)),0)+SUMIFS(F$1:F293,D$1:D293,D294))</f>
        <v/>
      </c>
      <c r="H294" s="12" t="str">
        <f t="shared" si="9"/>
        <v/>
      </c>
      <c r="I294" s="5"/>
      <c r="J294" s="5"/>
      <c r="K294" s="11" t="str">
        <f>IF(D294="","",IF(ISNA(MATCH(D294,'Master Produk'!$A$2:$A$101,0)),"SKU tidak ada di master",IF(AND(C294="Stok masuk",F294&lt;0),"Stok masuk harus +",IF(AND(C294="Stok keluar",F294&gt;0),"Stok keluar harus -",IF(H294&lt;0,"Stok negatif","OK")))))</f>
        <v/>
      </c>
    </row>
    <row r="295" spans="1:11" x14ac:dyDescent="0.3">
      <c r="A295" s="9" t="str">
        <f t="shared" si="8"/>
        <v/>
      </c>
      <c r="B295" s="10"/>
      <c r="C295" s="5"/>
      <c r="D295" s="5"/>
      <c r="E295" s="11" t="str">
        <f>IF(D295="","",IFERROR(INDEX('Master Produk'!$B$2:$B$101,MATCH(D295,'Master Produk'!$A$2:$A$101,0)),"SKU tidak ada di master"))</f>
        <v/>
      </c>
      <c r="F295" s="6"/>
      <c r="G295" s="12" t="str">
        <f>IF(D295="","",IFERROR(INDEX('Master Produk'!$C$2:$C$101,MATCH(D295,'Master Produk'!$A$2:$A$101,0)),0)+SUMIFS(F$1:F294,D$1:D294,D295))</f>
        <v/>
      </c>
      <c r="H295" s="12" t="str">
        <f t="shared" si="9"/>
        <v/>
      </c>
      <c r="I295" s="5"/>
      <c r="J295" s="5"/>
      <c r="K295" s="11" t="str">
        <f>IF(D295="","",IF(ISNA(MATCH(D295,'Master Produk'!$A$2:$A$101,0)),"SKU tidak ada di master",IF(AND(C295="Stok masuk",F295&lt;0),"Stok masuk harus +",IF(AND(C295="Stok keluar",F295&gt;0),"Stok keluar harus -",IF(H295&lt;0,"Stok negatif","OK")))))</f>
        <v/>
      </c>
    </row>
    <row r="296" spans="1:11" x14ac:dyDescent="0.3">
      <c r="A296" s="9" t="str">
        <f t="shared" si="8"/>
        <v/>
      </c>
      <c r="B296" s="10"/>
      <c r="C296" s="5"/>
      <c r="D296" s="5"/>
      <c r="E296" s="11" t="str">
        <f>IF(D296="","",IFERROR(INDEX('Master Produk'!$B$2:$B$101,MATCH(D296,'Master Produk'!$A$2:$A$101,0)),"SKU tidak ada di master"))</f>
        <v/>
      </c>
      <c r="F296" s="6"/>
      <c r="G296" s="12" t="str">
        <f>IF(D296="","",IFERROR(INDEX('Master Produk'!$C$2:$C$101,MATCH(D296,'Master Produk'!$A$2:$A$101,0)),0)+SUMIFS(F$1:F295,D$1:D295,D296))</f>
        <v/>
      </c>
      <c r="H296" s="12" t="str">
        <f t="shared" si="9"/>
        <v/>
      </c>
      <c r="I296" s="5"/>
      <c r="J296" s="5"/>
      <c r="K296" s="11" t="str">
        <f>IF(D296="","",IF(ISNA(MATCH(D296,'Master Produk'!$A$2:$A$101,0)),"SKU tidak ada di master",IF(AND(C296="Stok masuk",F296&lt;0),"Stok masuk harus +",IF(AND(C296="Stok keluar",F296&gt;0),"Stok keluar harus -",IF(H296&lt;0,"Stok negatif","OK")))))</f>
        <v/>
      </c>
    </row>
    <row r="297" spans="1:11" x14ac:dyDescent="0.3">
      <c r="A297" s="9" t="str">
        <f t="shared" si="8"/>
        <v/>
      </c>
      <c r="B297" s="10"/>
      <c r="C297" s="5"/>
      <c r="D297" s="5"/>
      <c r="E297" s="11" t="str">
        <f>IF(D297="","",IFERROR(INDEX('Master Produk'!$B$2:$B$101,MATCH(D297,'Master Produk'!$A$2:$A$101,0)),"SKU tidak ada di master"))</f>
        <v/>
      </c>
      <c r="F297" s="6"/>
      <c r="G297" s="12" t="str">
        <f>IF(D297="","",IFERROR(INDEX('Master Produk'!$C$2:$C$101,MATCH(D297,'Master Produk'!$A$2:$A$101,0)),0)+SUMIFS(F$1:F296,D$1:D296,D297))</f>
        <v/>
      </c>
      <c r="H297" s="12" t="str">
        <f t="shared" si="9"/>
        <v/>
      </c>
      <c r="I297" s="5"/>
      <c r="J297" s="5"/>
      <c r="K297" s="11" t="str">
        <f>IF(D297="","",IF(ISNA(MATCH(D297,'Master Produk'!$A$2:$A$101,0)),"SKU tidak ada di master",IF(AND(C297="Stok masuk",F297&lt;0),"Stok masuk harus +",IF(AND(C297="Stok keluar",F297&gt;0),"Stok keluar harus -",IF(H297&lt;0,"Stok negatif","OK")))))</f>
        <v/>
      </c>
    </row>
    <row r="298" spans="1:11" x14ac:dyDescent="0.3">
      <c r="A298" s="9" t="str">
        <f t="shared" si="8"/>
        <v/>
      </c>
      <c r="B298" s="10"/>
      <c r="C298" s="5"/>
      <c r="D298" s="5"/>
      <c r="E298" s="11" t="str">
        <f>IF(D298="","",IFERROR(INDEX('Master Produk'!$B$2:$B$101,MATCH(D298,'Master Produk'!$A$2:$A$101,0)),"SKU tidak ada di master"))</f>
        <v/>
      </c>
      <c r="F298" s="6"/>
      <c r="G298" s="12" t="str">
        <f>IF(D298="","",IFERROR(INDEX('Master Produk'!$C$2:$C$101,MATCH(D298,'Master Produk'!$A$2:$A$101,0)),0)+SUMIFS(F$1:F297,D$1:D297,D298))</f>
        <v/>
      </c>
      <c r="H298" s="12" t="str">
        <f t="shared" si="9"/>
        <v/>
      </c>
      <c r="I298" s="5"/>
      <c r="J298" s="5"/>
      <c r="K298" s="11" t="str">
        <f>IF(D298="","",IF(ISNA(MATCH(D298,'Master Produk'!$A$2:$A$101,0)),"SKU tidak ada di master",IF(AND(C298="Stok masuk",F298&lt;0),"Stok masuk harus +",IF(AND(C298="Stok keluar",F298&gt;0),"Stok keluar harus -",IF(H298&lt;0,"Stok negatif","OK")))))</f>
        <v/>
      </c>
    </row>
    <row r="299" spans="1:11" x14ac:dyDescent="0.3">
      <c r="A299" s="9" t="str">
        <f t="shared" si="8"/>
        <v/>
      </c>
      <c r="B299" s="10"/>
      <c r="C299" s="5"/>
      <c r="D299" s="5"/>
      <c r="E299" s="11" t="str">
        <f>IF(D299="","",IFERROR(INDEX('Master Produk'!$B$2:$B$101,MATCH(D299,'Master Produk'!$A$2:$A$101,0)),"SKU tidak ada di master"))</f>
        <v/>
      </c>
      <c r="F299" s="6"/>
      <c r="G299" s="12" t="str">
        <f>IF(D299="","",IFERROR(INDEX('Master Produk'!$C$2:$C$101,MATCH(D299,'Master Produk'!$A$2:$A$101,0)),0)+SUMIFS(F$1:F298,D$1:D298,D299))</f>
        <v/>
      </c>
      <c r="H299" s="12" t="str">
        <f t="shared" si="9"/>
        <v/>
      </c>
      <c r="I299" s="5"/>
      <c r="J299" s="5"/>
      <c r="K299" s="11" t="str">
        <f>IF(D299="","",IF(ISNA(MATCH(D299,'Master Produk'!$A$2:$A$101,0)),"SKU tidak ada di master",IF(AND(C299="Stok masuk",F299&lt;0),"Stok masuk harus +",IF(AND(C299="Stok keluar",F299&gt;0),"Stok keluar harus -",IF(H299&lt;0,"Stok negatif","OK")))))</f>
        <v/>
      </c>
    </row>
    <row r="300" spans="1:11" x14ac:dyDescent="0.3">
      <c r="A300" s="9" t="str">
        <f t="shared" si="8"/>
        <v/>
      </c>
      <c r="B300" s="10"/>
      <c r="C300" s="5"/>
      <c r="D300" s="5"/>
      <c r="E300" s="11" t="str">
        <f>IF(D300="","",IFERROR(INDEX('Master Produk'!$B$2:$B$101,MATCH(D300,'Master Produk'!$A$2:$A$101,0)),"SKU tidak ada di master"))</f>
        <v/>
      </c>
      <c r="F300" s="6"/>
      <c r="G300" s="12" t="str">
        <f>IF(D300="","",IFERROR(INDEX('Master Produk'!$C$2:$C$101,MATCH(D300,'Master Produk'!$A$2:$A$101,0)),0)+SUMIFS(F$1:F299,D$1:D299,D300))</f>
        <v/>
      </c>
      <c r="H300" s="12" t="str">
        <f t="shared" si="9"/>
        <v/>
      </c>
      <c r="I300" s="5"/>
      <c r="J300" s="5"/>
      <c r="K300" s="11" t="str">
        <f>IF(D300="","",IF(ISNA(MATCH(D300,'Master Produk'!$A$2:$A$101,0)),"SKU tidak ada di master",IF(AND(C300="Stok masuk",F300&lt;0),"Stok masuk harus +",IF(AND(C300="Stok keluar",F300&gt;0),"Stok keluar harus -",IF(H300&lt;0,"Stok negatif","OK")))))</f>
        <v/>
      </c>
    </row>
    <row r="301" spans="1:11" x14ac:dyDescent="0.3">
      <c r="A301" s="9" t="str">
        <f t="shared" si="8"/>
        <v/>
      </c>
      <c r="B301" s="10"/>
      <c r="C301" s="5"/>
      <c r="D301" s="5"/>
      <c r="E301" s="11" t="str">
        <f>IF(D301="","",IFERROR(INDEX('Master Produk'!$B$2:$B$101,MATCH(D301,'Master Produk'!$A$2:$A$101,0)),"SKU tidak ada di master"))</f>
        <v/>
      </c>
      <c r="F301" s="6"/>
      <c r="G301" s="12" t="str">
        <f>IF(D301="","",IFERROR(INDEX('Master Produk'!$C$2:$C$101,MATCH(D301,'Master Produk'!$A$2:$A$101,0)),0)+SUMIFS(F$1:F300,D$1:D300,D301))</f>
        <v/>
      </c>
      <c r="H301" s="12" t="str">
        <f t="shared" si="9"/>
        <v/>
      </c>
      <c r="I301" s="5"/>
      <c r="J301" s="5"/>
      <c r="K301" s="11" t="str">
        <f>IF(D301="","",IF(ISNA(MATCH(D301,'Master Produk'!$A$2:$A$101,0)),"SKU tidak ada di master",IF(AND(C301="Stok masuk",F301&lt;0),"Stok masuk harus +",IF(AND(C301="Stok keluar",F301&gt;0),"Stok keluar harus -",IF(H301&lt;0,"Stok negatif","OK")))))</f>
        <v/>
      </c>
    </row>
    <row r="302" spans="1:11" x14ac:dyDescent="0.3">
      <c r="A302" s="9" t="str">
        <f t="shared" si="8"/>
        <v/>
      </c>
      <c r="B302" s="10"/>
      <c r="C302" s="5"/>
      <c r="D302" s="5"/>
      <c r="E302" s="11" t="str">
        <f>IF(D302="","",IFERROR(INDEX('Master Produk'!$B$2:$B$101,MATCH(D302,'Master Produk'!$A$2:$A$101,0)),"SKU tidak ada di master"))</f>
        <v/>
      </c>
      <c r="F302" s="6"/>
      <c r="G302" s="12" t="str">
        <f>IF(D302="","",IFERROR(INDEX('Master Produk'!$C$2:$C$101,MATCH(D302,'Master Produk'!$A$2:$A$101,0)),0)+SUMIFS(F$1:F301,D$1:D301,D302))</f>
        <v/>
      </c>
      <c r="H302" s="12" t="str">
        <f t="shared" si="9"/>
        <v/>
      </c>
      <c r="I302" s="5"/>
      <c r="J302" s="5"/>
      <c r="K302" s="11" t="str">
        <f>IF(D302="","",IF(ISNA(MATCH(D302,'Master Produk'!$A$2:$A$101,0)),"SKU tidak ada di master",IF(AND(C302="Stok masuk",F302&lt;0),"Stok masuk harus +",IF(AND(C302="Stok keluar",F302&gt;0),"Stok keluar harus -",IF(H302&lt;0,"Stok negatif","OK")))))</f>
        <v/>
      </c>
    </row>
    <row r="303" spans="1:11" x14ac:dyDescent="0.3">
      <c r="A303" s="9" t="str">
        <f t="shared" si="8"/>
        <v/>
      </c>
      <c r="B303" s="10"/>
      <c r="C303" s="5"/>
      <c r="D303" s="5"/>
      <c r="E303" s="11" t="str">
        <f>IF(D303="","",IFERROR(INDEX('Master Produk'!$B$2:$B$101,MATCH(D303,'Master Produk'!$A$2:$A$101,0)),"SKU tidak ada di master"))</f>
        <v/>
      </c>
      <c r="F303" s="6"/>
      <c r="G303" s="12" t="str">
        <f>IF(D303="","",IFERROR(INDEX('Master Produk'!$C$2:$C$101,MATCH(D303,'Master Produk'!$A$2:$A$101,0)),0)+SUMIFS(F$1:F302,D$1:D302,D303))</f>
        <v/>
      </c>
      <c r="H303" s="12" t="str">
        <f t="shared" si="9"/>
        <v/>
      </c>
      <c r="I303" s="5"/>
      <c r="J303" s="5"/>
      <c r="K303" s="11" t="str">
        <f>IF(D303="","",IF(ISNA(MATCH(D303,'Master Produk'!$A$2:$A$101,0)),"SKU tidak ada di master",IF(AND(C303="Stok masuk",F303&lt;0),"Stok masuk harus +",IF(AND(C303="Stok keluar",F303&gt;0),"Stok keluar harus -",IF(H303&lt;0,"Stok negatif","OK")))))</f>
        <v/>
      </c>
    </row>
    <row r="304" spans="1:11" x14ac:dyDescent="0.3">
      <c r="A304" s="9" t="str">
        <f t="shared" si="8"/>
        <v/>
      </c>
      <c r="B304" s="10"/>
      <c r="C304" s="5"/>
      <c r="D304" s="5"/>
      <c r="E304" s="11" t="str">
        <f>IF(D304="","",IFERROR(INDEX('Master Produk'!$B$2:$B$101,MATCH(D304,'Master Produk'!$A$2:$A$101,0)),"SKU tidak ada di master"))</f>
        <v/>
      </c>
      <c r="F304" s="6"/>
      <c r="G304" s="12" t="str">
        <f>IF(D304="","",IFERROR(INDEX('Master Produk'!$C$2:$C$101,MATCH(D304,'Master Produk'!$A$2:$A$101,0)),0)+SUMIFS(F$1:F303,D$1:D303,D304))</f>
        <v/>
      </c>
      <c r="H304" s="12" t="str">
        <f t="shared" si="9"/>
        <v/>
      </c>
      <c r="I304" s="5"/>
      <c r="J304" s="5"/>
      <c r="K304" s="11" t="str">
        <f>IF(D304="","",IF(ISNA(MATCH(D304,'Master Produk'!$A$2:$A$101,0)),"SKU tidak ada di master",IF(AND(C304="Stok masuk",F304&lt;0),"Stok masuk harus +",IF(AND(C304="Stok keluar",F304&gt;0),"Stok keluar harus -",IF(H304&lt;0,"Stok negatif","OK")))))</f>
        <v/>
      </c>
    </row>
    <row r="305" spans="1:11" x14ac:dyDescent="0.3">
      <c r="A305" s="9" t="str">
        <f t="shared" si="8"/>
        <v/>
      </c>
      <c r="B305" s="10"/>
      <c r="C305" s="5"/>
      <c r="D305" s="5"/>
      <c r="E305" s="11" t="str">
        <f>IF(D305="","",IFERROR(INDEX('Master Produk'!$B$2:$B$101,MATCH(D305,'Master Produk'!$A$2:$A$101,0)),"SKU tidak ada di master"))</f>
        <v/>
      </c>
      <c r="F305" s="6"/>
      <c r="G305" s="12" t="str">
        <f>IF(D305="","",IFERROR(INDEX('Master Produk'!$C$2:$C$101,MATCH(D305,'Master Produk'!$A$2:$A$101,0)),0)+SUMIFS(F$1:F304,D$1:D304,D305))</f>
        <v/>
      </c>
      <c r="H305" s="12" t="str">
        <f t="shared" si="9"/>
        <v/>
      </c>
      <c r="I305" s="5"/>
      <c r="J305" s="5"/>
      <c r="K305" s="11" t="str">
        <f>IF(D305="","",IF(ISNA(MATCH(D305,'Master Produk'!$A$2:$A$101,0)),"SKU tidak ada di master",IF(AND(C305="Stok masuk",F305&lt;0),"Stok masuk harus +",IF(AND(C305="Stok keluar",F305&gt;0),"Stok keluar harus -",IF(H305&lt;0,"Stok negatif","OK")))))</f>
        <v/>
      </c>
    </row>
    <row r="306" spans="1:11" x14ac:dyDescent="0.3">
      <c r="A306" s="9" t="str">
        <f t="shared" si="8"/>
        <v/>
      </c>
      <c r="B306" s="10"/>
      <c r="C306" s="5"/>
      <c r="D306" s="5"/>
      <c r="E306" s="11" t="str">
        <f>IF(D306="","",IFERROR(INDEX('Master Produk'!$B$2:$B$101,MATCH(D306,'Master Produk'!$A$2:$A$101,0)),"SKU tidak ada di master"))</f>
        <v/>
      </c>
      <c r="F306" s="6"/>
      <c r="G306" s="12" t="str">
        <f>IF(D306="","",IFERROR(INDEX('Master Produk'!$C$2:$C$101,MATCH(D306,'Master Produk'!$A$2:$A$101,0)),0)+SUMIFS(F$1:F305,D$1:D305,D306))</f>
        <v/>
      </c>
      <c r="H306" s="12" t="str">
        <f t="shared" si="9"/>
        <v/>
      </c>
      <c r="I306" s="5"/>
      <c r="J306" s="5"/>
      <c r="K306" s="11" t="str">
        <f>IF(D306="","",IF(ISNA(MATCH(D306,'Master Produk'!$A$2:$A$101,0)),"SKU tidak ada di master",IF(AND(C306="Stok masuk",F306&lt;0),"Stok masuk harus +",IF(AND(C306="Stok keluar",F306&gt;0),"Stok keluar harus -",IF(H306&lt;0,"Stok negatif","OK")))))</f>
        <v/>
      </c>
    </row>
    <row r="307" spans="1:11" x14ac:dyDescent="0.3">
      <c r="A307" s="9" t="str">
        <f t="shared" si="8"/>
        <v/>
      </c>
      <c r="B307" s="10"/>
      <c r="C307" s="5"/>
      <c r="D307" s="5"/>
      <c r="E307" s="11" t="str">
        <f>IF(D307="","",IFERROR(INDEX('Master Produk'!$B$2:$B$101,MATCH(D307,'Master Produk'!$A$2:$A$101,0)),"SKU tidak ada di master"))</f>
        <v/>
      </c>
      <c r="F307" s="6"/>
      <c r="G307" s="12" t="str">
        <f>IF(D307="","",IFERROR(INDEX('Master Produk'!$C$2:$C$101,MATCH(D307,'Master Produk'!$A$2:$A$101,0)),0)+SUMIFS(F$1:F306,D$1:D306,D307))</f>
        <v/>
      </c>
      <c r="H307" s="12" t="str">
        <f t="shared" si="9"/>
        <v/>
      </c>
      <c r="I307" s="5"/>
      <c r="J307" s="5"/>
      <c r="K307" s="11" t="str">
        <f>IF(D307="","",IF(ISNA(MATCH(D307,'Master Produk'!$A$2:$A$101,0)),"SKU tidak ada di master",IF(AND(C307="Stok masuk",F307&lt;0),"Stok masuk harus +",IF(AND(C307="Stok keluar",F307&gt;0),"Stok keluar harus -",IF(H307&lt;0,"Stok negatif","OK")))))</f>
        <v/>
      </c>
    </row>
    <row r="308" spans="1:11" x14ac:dyDescent="0.3">
      <c r="A308" s="9" t="str">
        <f t="shared" si="8"/>
        <v/>
      </c>
      <c r="B308" s="10"/>
      <c r="C308" s="5"/>
      <c r="D308" s="5"/>
      <c r="E308" s="11" t="str">
        <f>IF(D308="","",IFERROR(INDEX('Master Produk'!$B$2:$B$101,MATCH(D308,'Master Produk'!$A$2:$A$101,0)),"SKU tidak ada di master"))</f>
        <v/>
      </c>
      <c r="F308" s="6"/>
      <c r="G308" s="12" t="str">
        <f>IF(D308="","",IFERROR(INDEX('Master Produk'!$C$2:$C$101,MATCH(D308,'Master Produk'!$A$2:$A$101,0)),0)+SUMIFS(F$1:F307,D$1:D307,D308))</f>
        <v/>
      </c>
      <c r="H308" s="12" t="str">
        <f t="shared" si="9"/>
        <v/>
      </c>
      <c r="I308" s="5"/>
      <c r="J308" s="5"/>
      <c r="K308" s="11" t="str">
        <f>IF(D308="","",IF(ISNA(MATCH(D308,'Master Produk'!$A$2:$A$101,0)),"SKU tidak ada di master",IF(AND(C308="Stok masuk",F308&lt;0),"Stok masuk harus +",IF(AND(C308="Stok keluar",F308&gt;0),"Stok keluar harus -",IF(H308&lt;0,"Stok negatif","OK")))))</f>
        <v/>
      </c>
    </row>
    <row r="309" spans="1:11" x14ac:dyDescent="0.3">
      <c r="A309" s="9" t="str">
        <f t="shared" si="8"/>
        <v/>
      </c>
      <c r="B309" s="10"/>
      <c r="C309" s="5"/>
      <c r="D309" s="5"/>
      <c r="E309" s="11" t="str">
        <f>IF(D309="","",IFERROR(INDEX('Master Produk'!$B$2:$B$101,MATCH(D309,'Master Produk'!$A$2:$A$101,0)),"SKU tidak ada di master"))</f>
        <v/>
      </c>
      <c r="F309" s="6"/>
      <c r="G309" s="12" t="str">
        <f>IF(D309="","",IFERROR(INDEX('Master Produk'!$C$2:$C$101,MATCH(D309,'Master Produk'!$A$2:$A$101,0)),0)+SUMIFS(F$1:F308,D$1:D308,D309))</f>
        <v/>
      </c>
      <c r="H309" s="12" t="str">
        <f t="shared" si="9"/>
        <v/>
      </c>
      <c r="I309" s="5"/>
      <c r="J309" s="5"/>
      <c r="K309" s="11" t="str">
        <f>IF(D309="","",IF(ISNA(MATCH(D309,'Master Produk'!$A$2:$A$101,0)),"SKU tidak ada di master",IF(AND(C309="Stok masuk",F309&lt;0),"Stok masuk harus +",IF(AND(C309="Stok keluar",F309&gt;0),"Stok keluar harus -",IF(H309&lt;0,"Stok negatif","OK")))))</f>
        <v/>
      </c>
    </row>
    <row r="310" spans="1:11" x14ac:dyDescent="0.3">
      <c r="A310" s="9" t="str">
        <f t="shared" si="8"/>
        <v/>
      </c>
      <c r="B310" s="10"/>
      <c r="C310" s="5"/>
      <c r="D310" s="5"/>
      <c r="E310" s="11" t="str">
        <f>IF(D310="","",IFERROR(INDEX('Master Produk'!$B$2:$B$101,MATCH(D310,'Master Produk'!$A$2:$A$101,0)),"SKU tidak ada di master"))</f>
        <v/>
      </c>
      <c r="F310" s="6"/>
      <c r="G310" s="12" t="str">
        <f>IF(D310="","",IFERROR(INDEX('Master Produk'!$C$2:$C$101,MATCH(D310,'Master Produk'!$A$2:$A$101,0)),0)+SUMIFS(F$1:F309,D$1:D309,D310))</f>
        <v/>
      </c>
      <c r="H310" s="12" t="str">
        <f t="shared" si="9"/>
        <v/>
      </c>
      <c r="I310" s="5"/>
      <c r="J310" s="5"/>
      <c r="K310" s="11" t="str">
        <f>IF(D310="","",IF(ISNA(MATCH(D310,'Master Produk'!$A$2:$A$101,0)),"SKU tidak ada di master",IF(AND(C310="Stok masuk",F310&lt;0),"Stok masuk harus +",IF(AND(C310="Stok keluar",F310&gt;0),"Stok keluar harus -",IF(H310&lt;0,"Stok negatif","OK")))))</f>
        <v/>
      </c>
    </row>
    <row r="311" spans="1:11" x14ac:dyDescent="0.3">
      <c r="A311" s="9" t="str">
        <f t="shared" si="8"/>
        <v/>
      </c>
      <c r="B311" s="10"/>
      <c r="C311" s="5"/>
      <c r="D311" s="5"/>
      <c r="E311" s="11" t="str">
        <f>IF(D311="","",IFERROR(INDEX('Master Produk'!$B$2:$B$101,MATCH(D311,'Master Produk'!$A$2:$A$101,0)),"SKU tidak ada di master"))</f>
        <v/>
      </c>
      <c r="F311" s="6"/>
      <c r="G311" s="12" t="str">
        <f>IF(D311="","",IFERROR(INDEX('Master Produk'!$C$2:$C$101,MATCH(D311,'Master Produk'!$A$2:$A$101,0)),0)+SUMIFS(F$1:F310,D$1:D310,D311))</f>
        <v/>
      </c>
      <c r="H311" s="12" t="str">
        <f t="shared" si="9"/>
        <v/>
      </c>
      <c r="I311" s="5"/>
      <c r="J311" s="5"/>
      <c r="K311" s="11" t="str">
        <f>IF(D311="","",IF(ISNA(MATCH(D311,'Master Produk'!$A$2:$A$101,0)),"SKU tidak ada di master",IF(AND(C311="Stok masuk",F311&lt;0),"Stok masuk harus +",IF(AND(C311="Stok keluar",F311&gt;0),"Stok keluar harus -",IF(H311&lt;0,"Stok negatif","OK")))))</f>
        <v/>
      </c>
    </row>
    <row r="312" spans="1:11" x14ac:dyDescent="0.3">
      <c r="A312" s="9" t="str">
        <f t="shared" si="8"/>
        <v/>
      </c>
      <c r="B312" s="10"/>
      <c r="C312" s="5"/>
      <c r="D312" s="5"/>
      <c r="E312" s="11" t="str">
        <f>IF(D312="","",IFERROR(INDEX('Master Produk'!$B$2:$B$101,MATCH(D312,'Master Produk'!$A$2:$A$101,0)),"SKU tidak ada di master"))</f>
        <v/>
      </c>
      <c r="F312" s="6"/>
      <c r="G312" s="12" t="str">
        <f>IF(D312="","",IFERROR(INDEX('Master Produk'!$C$2:$C$101,MATCH(D312,'Master Produk'!$A$2:$A$101,0)),0)+SUMIFS(F$1:F311,D$1:D311,D312))</f>
        <v/>
      </c>
      <c r="H312" s="12" t="str">
        <f t="shared" si="9"/>
        <v/>
      </c>
      <c r="I312" s="5"/>
      <c r="J312" s="5"/>
      <c r="K312" s="11" t="str">
        <f>IF(D312="","",IF(ISNA(MATCH(D312,'Master Produk'!$A$2:$A$101,0)),"SKU tidak ada di master",IF(AND(C312="Stok masuk",F312&lt;0),"Stok masuk harus +",IF(AND(C312="Stok keluar",F312&gt;0),"Stok keluar harus -",IF(H312&lt;0,"Stok negatif","OK")))))</f>
        <v/>
      </c>
    </row>
    <row r="313" spans="1:11" x14ac:dyDescent="0.3">
      <c r="A313" s="9" t="str">
        <f t="shared" si="8"/>
        <v/>
      </c>
      <c r="B313" s="10"/>
      <c r="C313" s="5"/>
      <c r="D313" s="5"/>
      <c r="E313" s="11" t="str">
        <f>IF(D313="","",IFERROR(INDEX('Master Produk'!$B$2:$B$101,MATCH(D313,'Master Produk'!$A$2:$A$101,0)),"SKU tidak ada di master"))</f>
        <v/>
      </c>
      <c r="F313" s="6"/>
      <c r="G313" s="12" t="str">
        <f>IF(D313="","",IFERROR(INDEX('Master Produk'!$C$2:$C$101,MATCH(D313,'Master Produk'!$A$2:$A$101,0)),0)+SUMIFS(F$1:F312,D$1:D312,D313))</f>
        <v/>
      </c>
      <c r="H313" s="12" t="str">
        <f t="shared" si="9"/>
        <v/>
      </c>
      <c r="I313" s="5"/>
      <c r="J313" s="5"/>
      <c r="K313" s="11" t="str">
        <f>IF(D313="","",IF(ISNA(MATCH(D313,'Master Produk'!$A$2:$A$101,0)),"SKU tidak ada di master",IF(AND(C313="Stok masuk",F313&lt;0),"Stok masuk harus +",IF(AND(C313="Stok keluar",F313&gt;0),"Stok keluar harus -",IF(H313&lt;0,"Stok negatif","OK")))))</f>
        <v/>
      </c>
    </row>
    <row r="314" spans="1:11" x14ac:dyDescent="0.3">
      <c r="A314" s="9" t="str">
        <f t="shared" si="8"/>
        <v/>
      </c>
      <c r="B314" s="10"/>
      <c r="C314" s="5"/>
      <c r="D314" s="5"/>
      <c r="E314" s="11" t="str">
        <f>IF(D314="","",IFERROR(INDEX('Master Produk'!$B$2:$B$101,MATCH(D314,'Master Produk'!$A$2:$A$101,0)),"SKU tidak ada di master"))</f>
        <v/>
      </c>
      <c r="F314" s="6"/>
      <c r="G314" s="12" t="str">
        <f>IF(D314="","",IFERROR(INDEX('Master Produk'!$C$2:$C$101,MATCH(D314,'Master Produk'!$A$2:$A$101,0)),0)+SUMIFS(F$1:F313,D$1:D313,D314))</f>
        <v/>
      </c>
      <c r="H314" s="12" t="str">
        <f t="shared" si="9"/>
        <v/>
      </c>
      <c r="I314" s="5"/>
      <c r="J314" s="5"/>
      <c r="K314" s="11" t="str">
        <f>IF(D314="","",IF(ISNA(MATCH(D314,'Master Produk'!$A$2:$A$101,0)),"SKU tidak ada di master",IF(AND(C314="Stok masuk",F314&lt;0),"Stok masuk harus +",IF(AND(C314="Stok keluar",F314&gt;0),"Stok keluar harus -",IF(H314&lt;0,"Stok negatif","OK")))))</f>
        <v/>
      </c>
    </row>
    <row r="315" spans="1:11" x14ac:dyDescent="0.3">
      <c r="A315" s="9" t="str">
        <f t="shared" si="8"/>
        <v/>
      </c>
      <c r="B315" s="10"/>
      <c r="C315" s="5"/>
      <c r="D315" s="5"/>
      <c r="E315" s="11" t="str">
        <f>IF(D315="","",IFERROR(INDEX('Master Produk'!$B$2:$B$101,MATCH(D315,'Master Produk'!$A$2:$A$101,0)),"SKU tidak ada di master"))</f>
        <v/>
      </c>
      <c r="F315" s="6"/>
      <c r="G315" s="12" t="str">
        <f>IF(D315="","",IFERROR(INDEX('Master Produk'!$C$2:$C$101,MATCH(D315,'Master Produk'!$A$2:$A$101,0)),0)+SUMIFS(F$1:F314,D$1:D314,D315))</f>
        <v/>
      </c>
      <c r="H315" s="12" t="str">
        <f t="shared" si="9"/>
        <v/>
      </c>
      <c r="I315" s="5"/>
      <c r="J315" s="5"/>
      <c r="K315" s="11" t="str">
        <f>IF(D315="","",IF(ISNA(MATCH(D315,'Master Produk'!$A$2:$A$101,0)),"SKU tidak ada di master",IF(AND(C315="Stok masuk",F315&lt;0),"Stok masuk harus +",IF(AND(C315="Stok keluar",F315&gt;0),"Stok keluar harus -",IF(H315&lt;0,"Stok negatif","OK")))))</f>
        <v/>
      </c>
    </row>
    <row r="316" spans="1:11" x14ac:dyDescent="0.3">
      <c r="A316" s="9" t="str">
        <f t="shared" si="8"/>
        <v/>
      </c>
      <c r="B316" s="10"/>
      <c r="C316" s="5"/>
      <c r="D316" s="5"/>
      <c r="E316" s="11" t="str">
        <f>IF(D316="","",IFERROR(INDEX('Master Produk'!$B$2:$B$101,MATCH(D316,'Master Produk'!$A$2:$A$101,0)),"SKU tidak ada di master"))</f>
        <v/>
      </c>
      <c r="F316" s="6"/>
      <c r="G316" s="12" t="str">
        <f>IF(D316="","",IFERROR(INDEX('Master Produk'!$C$2:$C$101,MATCH(D316,'Master Produk'!$A$2:$A$101,0)),0)+SUMIFS(F$1:F315,D$1:D315,D316))</f>
        <v/>
      </c>
      <c r="H316" s="12" t="str">
        <f t="shared" si="9"/>
        <v/>
      </c>
      <c r="I316" s="5"/>
      <c r="J316" s="5"/>
      <c r="K316" s="11" t="str">
        <f>IF(D316="","",IF(ISNA(MATCH(D316,'Master Produk'!$A$2:$A$101,0)),"SKU tidak ada di master",IF(AND(C316="Stok masuk",F316&lt;0),"Stok masuk harus +",IF(AND(C316="Stok keluar",F316&gt;0),"Stok keluar harus -",IF(H316&lt;0,"Stok negatif","OK")))))</f>
        <v/>
      </c>
    </row>
    <row r="317" spans="1:11" x14ac:dyDescent="0.3">
      <c r="A317" s="9" t="str">
        <f t="shared" si="8"/>
        <v/>
      </c>
      <c r="B317" s="10"/>
      <c r="C317" s="5"/>
      <c r="D317" s="5"/>
      <c r="E317" s="11" t="str">
        <f>IF(D317="","",IFERROR(INDEX('Master Produk'!$B$2:$B$101,MATCH(D317,'Master Produk'!$A$2:$A$101,0)),"SKU tidak ada di master"))</f>
        <v/>
      </c>
      <c r="F317" s="6"/>
      <c r="G317" s="12" t="str">
        <f>IF(D317="","",IFERROR(INDEX('Master Produk'!$C$2:$C$101,MATCH(D317,'Master Produk'!$A$2:$A$101,0)),0)+SUMIFS(F$1:F316,D$1:D316,D317))</f>
        <v/>
      </c>
      <c r="H317" s="12" t="str">
        <f t="shared" si="9"/>
        <v/>
      </c>
      <c r="I317" s="5"/>
      <c r="J317" s="5"/>
      <c r="K317" s="11" t="str">
        <f>IF(D317="","",IF(ISNA(MATCH(D317,'Master Produk'!$A$2:$A$101,0)),"SKU tidak ada di master",IF(AND(C317="Stok masuk",F317&lt;0),"Stok masuk harus +",IF(AND(C317="Stok keluar",F317&gt;0),"Stok keluar harus -",IF(H317&lt;0,"Stok negatif","OK")))))</f>
        <v/>
      </c>
    </row>
    <row r="318" spans="1:11" x14ac:dyDescent="0.3">
      <c r="A318" s="9" t="str">
        <f t="shared" si="8"/>
        <v/>
      </c>
      <c r="B318" s="10"/>
      <c r="C318" s="5"/>
      <c r="D318" s="5"/>
      <c r="E318" s="11" t="str">
        <f>IF(D318="","",IFERROR(INDEX('Master Produk'!$B$2:$B$101,MATCH(D318,'Master Produk'!$A$2:$A$101,0)),"SKU tidak ada di master"))</f>
        <v/>
      </c>
      <c r="F318" s="6"/>
      <c r="G318" s="12" t="str">
        <f>IF(D318="","",IFERROR(INDEX('Master Produk'!$C$2:$C$101,MATCH(D318,'Master Produk'!$A$2:$A$101,0)),0)+SUMIFS(F$1:F317,D$1:D317,D318))</f>
        <v/>
      </c>
      <c r="H318" s="12" t="str">
        <f t="shared" si="9"/>
        <v/>
      </c>
      <c r="I318" s="5"/>
      <c r="J318" s="5"/>
      <c r="K318" s="11" t="str">
        <f>IF(D318="","",IF(ISNA(MATCH(D318,'Master Produk'!$A$2:$A$101,0)),"SKU tidak ada di master",IF(AND(C318="Stok masuk",F318&lt;0),"Stok masuk harus +",IF(AND(C318="Stok keluar",F318&gt;0),"Stok keluar harus -",IF(H318&lt;0,"Stok negatif","OK")))))</f>
        <v/>
      </c>
    </row>
    <row r="319" spans="1:11" x14ac:dyDescent="0.3">
      <c r="A319" s="9" t="str">
        <f t="shared" si="8"/>
        <v/>
      </c>
      <c r="B319" s="10"/>
      <c r="C319" s="5"/>
      <c r="D319" s="5"/>
      <c r="E319" s="11" t="str">
        <f>IF(D319="","",IFERROR(INDEX('Master Produk'!$B$2:$B$101,MATCH(D319,'Master Produk'!$A$2:$A$101,0)),"SKU tidak ada di master"))</f>
        <v/>
      </c>
      <c r="F319" s="6"/>
      <c r="G319" s="12" t="str">
        <f>IF(D319="","",IFERROR(INDEX('Master Produk'!$C$2:$C$101,MATCH(D319,'Master Produk'!$A$2:$A$101,0)),0)+SUMIFS(F$1:F318,D$1:D318,D319))</f>
        <v/>
      </c>
      <c r="H319" s="12" t="str">
        <f t="shared" si="9"/>
        <v/>
      </c>
      <c r="I319" s="5"/>
      <c r="J319" s="5"/>
      <c r="K319" s="11" t="str">
        <f>IF(D319="","",IF(ISNA(MATCH(D319,'Master Produk'!$A$2:$A$101,0)),"SKU tidak ada di master",IF(AND(C319="Stok masuk",F319&lt;0),"Stok masuk harus +",IF(AND(C319="Stok keluar",F319&gt;0),"Stok keluar harus -",IF(H319&lt;0,"Stok negatif","OK")))))</f>
        <v/>
      </c>
    </row>
    <row r="320" spans="1:11" x14ac:dyDescent="0.3">
      <c r="A320" s="9" t="str">
        <f t="shared" si="8"/>
        <v/>
      </c>
      <c r="B320" s="10"/>
      <c r="C320" s="5"/>
      <c r="D320" s="5"/>
      <c r="E320" s="11" t="str">
        <f>IF(D320="","",IFERROR(INDEX('Master Produk'!$B$2:$B$101,MATCH(D320,'Master Produk'!$A$2:$A$101,0)),"SKU tidak ada di master"))</f>
        <v/>
      </c>
      <c r="F320" s="6"/>
      <c r="G320" s="12" t="str">
        <f>IF(D320="","",IFERROR(INDEX('Master Produk'!$C$2:$C$101,MATCH(D320,'Master Produk'!$A$2:$A$101,0)),0)+SUMIFS(F$1:F319,D$1:D319,D320))</f>
        <v/>
      </c>
      <c r="H320" s="12" t="str">
        <f t="shared" si="9"/>
        <v/>
      </c>
      <c r="I320" s="5"/>
      <c r="J320" s="5"/>
      <c r="K320" s="11" t="str">
        <f>IF(D320="","",IF(ISNA(MATCH(D320,'Master Produk'!$A$2:$A$101,0)),"SKU tidak ada di master",IF(AND(C320="Stok masuk",F320&lt;0),"Stok masuk harus +",IF(AND(C320="Stok keluar",F320&gt;0),"Stok keluar harus -",IF(H320&lt;0,"Stok negatif","OK")))))</f>
        <v/>
      </c>
    </row>
    <row r="321" spans="1:11" x14ac:dyDescent="0.3">
      <c r="A321" s="9" t="str">
        <f t="shared" si="8"/>
        <v/>
      </c>
      <c r="B321" s="10"/>
      <c r="C321" s="5"/>
      <c r="D321" s="5"/>
      <c r="E321" s="11" t="str">
        <f>IF(D321="","",IFERROR(INDEX('Master Produk'!$B$2:$B$101,MATCH(D321,'Master Produk'!$A$2:$A$101,0)),"SKU tidak ada di master"))</f>
        <v/>
      </c>
      <c r="F321" s="6"/>
      <c r="G321" s="12" t="str">
        <f>IF(D321="","",IFERROR(INDEX('Master Produk'!$C$2:$C$101,MATCH(D321,'Master Produk'!$A$2:$A$101,0)),0)+SUMIFS(F$1:F320,D$1:D320,D321))</f>
        <v/>
      </c>
      <c r="H321" s="12" t="str">
        <f t="shared" si="9"/>
        <v/>
      </c>
      <c r="I321" s="5"/>
      <c r="J321" s="5"/>
      <c r="K321" s="11" t="str">
        <f>IF(D321="","",IF(ISNA(MATCH(D321,'Master Produk'!$A$2:$A$101,0)),"SKU tidak ada di master",IF(AND(C321="Stok masuk",F321&lt;0),"Stok masuk harus +",IF(AND(C321="Stok keluar",F321&gt;0),"Stok keluar harus -",IF(H321&lt;0,"Stok negatif","OK")))))</f>
        <v/>
      </c>
    </row>
    <row r="322" spans="1:11" x14ac:dyDescent="0.3">
      <c r="A322" s="9" t="str">
        <f t="shared" ref="A322:A385" si="10">IF(D322="","",ROW()-1)</f>
        <v/>
      </c>
      <c r="B322" s="10"/>
      <c r="C322" s="5"/>
      <c r="D322" s="5"/>
      <c r="E322" s="11" t="str">
        <f>IF(D322="","",IFERROR(INDEX('Master Produk'!$B$2:$B$101,MATCH(D322,'Master Produk'!$A$2:$A$101,0)),"SKU tidak ada di master"))</f>
        <v/>
      </c>
      <c r="F322" s="6"/>
      <c r="G322" s="12" t="str">
        <f>IF(D322="","",IFERROR(INDEX('Master Produk'!$C$2:$C$101,MATCH(D322,'Master Produk'!$A$2:$A$101,0)),0)+SUMIFS(F$1:F321,D$1:D321,D322))</f>
        <v/>
      </c>
      <c r="H322" s="12" t="str">
        <f t="shared" ref="H322:H385" si="11">IF(D322="","",G322+F322)</f>
        <v/>
      </c>
      <c r="I322" s="5"/>
      <c r="J322" s="5"/>
      <c r="K322" s="11" t="str">
        <f>IF(D322="","",IF(ISNA(MATCH(D322,'Master Produk'!$A$2:$A$101,0)),"SKU tidak ada di master",IF(AND(C322="Stok masuk",F322&lt;0),"Stok masuk harus +",IF(AND(C322="Stok keluar",F322&gt;0),"Stok keluar harus -",IF(H322&lt;0,"Stok negatif","OK")))))</f>
        <v/>
      </c>
    </row>
    <row r="323" spans="1:11" x14ac:dyDescent="0.3">
      <c r="A323" s="9" t="str">
        <f t="shared" si="10"/>
        <v/>
      </c>
      <c r="B323" s="10"/>
      <c r="C323" s="5"/>
      <c r="D323" s="5"/>
      <c r="E323" s="11" t="str">
        <f>IF(D323="","",IFERROR(INDEX('Master Produk'!$B$2:$B$101,MATCH(D323,'Master Produk'!$A$2:$A$101,0)),"SKU tidak ada di master"))</f>
        <v/>
      </c>
      <c r="F323" s="6"/>
      <c r="G323" s="12" t="str">
        <f>IF(D323="","",IFERROR(INDEX('Master Produk'!$C$2:$C$101,MATCH(D323,'Master Produk'!$A$2:$A$101,0)),0)+SUMIFS(F$1:F322,D$1:D322,D323))</f>
        <v/>
      </c>
      <c r="H323" s="12" t="str">
        <f t="shared" si="11"/>
        <v/>
      </c>
      <c r="I323" s="5"/>
      <c r="J323" s="5"/>
      <c r="K323" s="11" t="str">
        <f>IF(D323="","",IF(ISNA(MATCH(D323,'Master Produk'!$A$2:$A$101,0)),"SKU tidak ada di master",IF(AND(C323="Stok masuk",F323&lt;0),"Stok masuk harus +",IF(AND(C323="Stok keluar",F323&gt;0),"Stok keluar harus -",IF(H323&lt;0,"Stok negatif","OK")))))</f>
        <v/>
      </c>
    </row>
    <row r="324" spans="1:11" x14ac:dyDescent="0.3">
      <c r="A324" s="9" t="str">
        <f t="shared" si="10"/>
        <v/>
      </c>
      <c r="B324" s="10"/>
      <c r="C324" s="5"/>
      <c r="D324" s="5"/>
      <c r="E324" s="11" t="str">
        <f>IF(D324="","",IFERROR(INDEX('Master Produk'!$B$2:$B$101,MATCH(D324,'Master Produk'!$A$2:$A$101,0)),"SKU tidak ada di master"))</f>
        <v/>
      </c>
      <c r="F324" s="6"/>
      <c r="G324" s="12" t="str">
        <f>IF(D324="","",IFERROR(INDEX('Master Produk'!$C$2:$C$101,MATCH(D324,'Master Produk'!$A$2:$A$101,0)),0)+SUMIFS(F$1:F323,D$1:D323,D324))</f>
        <v/>
      </c>
      <c r="H324" s="12" t="str">
        <f t="shared" si="11"/>
        <v/>
      </c>
      <c r="I324" s="5"/>
      <c r="J324" s="5"/>
      <c r="K324" s="11" t="str">
        <f>IF(D324="","",IF(ISNA(MATCH(D324,'Master Produk'!$A$2:$A$101,0)),"SKU tidak ada di master",IF(AND(C324="Stok masuk",F324&lt;0),"Stok masuk harus +",IF(AND(C324="Stok keluar",F324&gt;0),"Stok keluar harus -",IF(H324&lt;0,"Stok negatif","OK")))))</f>
        <v/>
      </c>
    </row>
    <row r="325" spans="1:11" x14ac:dyDescent="0.3">
      <c r="A325" s="9" t="str">
        <f t="shared" si="10"/>
        <v/>
      </c>
      <c r="B325" s="10"/>
      <c r="C325" s="5"/>
      <c r="D325" s="5"/>
      <c r="E325" s="11" t="str">
        <f>IF(D325="","",IFERROR(INDEX('Master Produk'!$B$2:$B$101,MATCH(D325,'Master Produk'!$A$2:$A$101,0)),"SKU tidak ada di master"))</f>
        <v/>
      </c>
      <c r="F325" s="6"/>
      <c r="G325" s="12" t="str">
        <f>IF(D325="","",IFERROR(INDEX('Master Produk'!$C$2:$C$101,MATCH(D325,'Master Produk'!$A$2:$A$101,0)),0)+SUMIFS(F$1:F324,D$1:D324,D325))</f>
        <v/>
      </c>
      <c r="H325" s="12" t="str">
        <f t="shared" si="11"/>
        <v/>
      </c>
      <c r="I325" s="5"/>
      <c r="J325" s="5"/>
      <c r="K325" s="11" t="str">
        <f>IF(D325="","",IF(ISNA(MATCH(D325,'Master Produk'!$A$2:$A$101,0)),"SKU tidak ada di master",IF(AND(C325="Stok masuk",F325&lt;0),"Stok masuk harus +",IF(AND(C325="Stok keluar",F325&gt;0),"Stok keluar harus -",IF(H325&lt;0,"Stok negatif","OK")))))</f>
        <v/>
      </c>
    </row>
    <row r="326" spans="1:11" x14ac:dyDescent="0.3">
      <c r="A326" s="9" t="str">
        <f t="shared" si="10"/>
        <v/>
      </c>
      <c r="B326" s="10"/>
      <c r="C326" s="5"/>
      <c r="D326" s="5"/>
      <c r="E326" s="11" t="str">
        <f>IF(D326="","",IFERROR(INDEX('Master Produk'!$B$2:$B$101,MATCH(D326,'Master Produk'!$A$2:$A$101,0)),"SKU tidak ada di master"))</f>
        <v/>
      </c>
      <c r="F326" s="6"/>
      <c r="G326" s="12" t="str">
        <f>IF(D326="","",IFERROR(INDEX('Master Produk'!$C$2:$C$101,MATCH(D326,'Master Produk'!$A$2:$A$101,0)),0)+SUMIFS(F$1:F325,D$1:D325,D326))</f>
        <v/>
      </c>
      <c r="H326" s="12" t="str">
        <f t="shared" si="11"/>
        <v/>
      </c>
      <c r="I326" s="5"/>
      <c r="J326" s="5"/>
      <c r="K326" s="11" t="str">
        <f>IF(D326="","",IF(ISNA(MATCH(D326,'Master Produk'!$A$2:$A$101,0)),"SKU tidak ada di master",IF(AND(C326="Stok masuk",F326&lt;0),"Stok masuk harus +",IF(AND(C326="Stok keluar",F326&gt;0),"Stok keluar harus -",IF(H326&lt;0,"Stok negatif","OK")))))</f>
        <v/>
      </c>
    </row>
    <row r="327" spans="1:11" x14ac:dyDescent="0.3">
      <c r="A327" s="9" t="str">
        <f t="shared" si="10"/>
        <v/>
      </c>
      <c r="B327" s="10"/>
      <c r="C327" s="5"/>
      <c r="D327" s="5"/>
      <c r="E327" s="11" t="str">
        <f>IF(D327="","",IFERROR(INDEX('Master Produk'!$B$2:$B$101,MATCH(D327,'Master Produk'!$A$2:$A$101,0)),"SKU tidak ada di master"))</f>
        <v/>
      </c>
      <c r="F327" s="6"/>
      <c r="G327" s="12" t="str">
        <f>IF(D327="","",IFERROR(INDEX('Master Produk'!$C$2:$C$101,MATCH(D327,'Master Produk'!$A$2:$A$101,0)),0)+SUMIFS(F$1:F326,D$1:D326,D327))</f>
        <v/>
      </c>
      <c r="H327" s="12" t="str">
        <f t="shared" si="11"/>
        <v/>
      </c>
      <c r="I327" s="5"/>
      <c r="J327" s="5"/>
      <c r="K327" s="11" t="str">
        <f>IF(D327="","",IF(ISNA(MATCH(D327,'Master Produk'!$A$2:$A$101,0)),"SKU tidak ada di master",IF(AND(C327="Stok masuk",F327&lt;0),"Stok masuk harus +",IF(AND(C327="Stok keluar",F327&gt;0),"Stok keluar harus -",IF(H327&lt;0,"Stok negatif","OK")))))</f>
        <v/>
      </c>
    </row>
    <row r="328" spans="1:11" x14ac:dyDescent="0.3">
      <c r="A328" s="9" t="str">
        <f t="shared" si="10"/>
        <v/>
      </c>
      <c r="B328" s="10"/>
      <c r="C328" s="5"/>
      <c r="D328" s="5"/>
      <c r="E328" s="11" t="str">
        <f>IF(D328="","",IFERROR(INDEX('Master Produk'!$B$2:$B$101,MATCH(D328,'Master Produk'!$A$2:$A$101,0)),"SKU tidak ada di master"))</f>
        <v/>
      </c>
      <c r="F328" s="6"/>
      <c r="G328" s="12" t="str">
        <f>IF(D328="","",IFERROR(INDEX('Master Produk'!$C$2:$C$101,MATCH(D328,'Master Produk'!$A$2:$A$101,0)),0)+SUMIFS(F$1:F327,D$1:D327,D328))</f>
        <v/>
      </c>
      <c r="H328" s="12" t="str">
        <f t="shared" si="11"/>
        <v/>
      </c>
      <c r="I328" s="5"/>
      <c r="J328" s="5"/>
      <c r="K328" s="11" t="str">
        <f>IF(D328="","",IF(ISNA(MATCH(D328,'Master Produk'!$A$2:$A$101,0)),"SKU tidak ada di master",IF(AND(C328="Stok masuk",F328&lt;0),"Stok masuk harus +",IF(AND(C328="Stok keluar",F328&gt;0),"Stok keluar harus -",IF(H328&lt;0,"Stok negatif","OK")))))</f>
        <v/>
      </c>
    </row>
    <row r="329" spans="1:11" x14ac:dyDescent="0.3">
      <c r="A329" s="9" t="str">
        <f t="shared" si="10"/>
        <v/>
      </c>
      <c r="B329" s="10"/>
      <c r="C329" s="5"/>
      <c r="D329" s="5"/>
      <c r="E329" s="11" t="str">
        <f>IF(D329="","",IFERROR(INDEX('Master Produk'!$B$2:$B$101,MATCH(D329,'Master Produk'!$A$2:$A$101,0)),"SKU tidak ada di master"))</f>
        <v/>
      </c>
      <c r="F329" s="6"/>
      <c r="G329" s="12" t="str">
        <f>IF(D329="","",IFERROR(INDEX('Master Produk'!$C$2:$C$101,MATCH(D329,'Master Produk'!$A$2:$A$101,0)),0)+SUMIFS(F$1:F328,D$1:D328,D329))</f>
        <v/>
      </c>
      <c r="H329" s="12" t="str">
        <f t="shared" si="11"/>
        <v/>
      </c>
      <c r="I329" s="5"/>
      <c r="J329" s="5"/>
      <c r="K329" s="11" t="str">
        <f>IF(D329="","",IF(ISNA(MATCH(D329,'Master Produk'!$A$2:$A$101,0)),"SKU tidak ada di master",IF(AND(C329="Stok masuk",F329&lt;0),"Stok masuk harus +",IF(AND(C329="Stok keluar",F329&gt;0),"Stok keluar harus -",IF(H329&lt;0,"Stok negatif","OK")))))</f>
        <v/>
      </c>
    </row>
    <row r="330" spans="1:11" x14ac:dyDescent="0.3">
      <c r="A330" s="9" t="str">
        <f t="shared" si="10"/>
        <v/>
      </c>
      <c r="B330" s="10"/>
      <c r="C330" s="5"/>
      <c r="D330" s="5"/>
      <c r="E330" s="11" t="str">
        <f>IF(D330="","",IFERROR(INDEX('Master Produk'!$B$2:$B$101,MATCH(D330,'Master Produk'!$A$2:$A$101,0)),"SKU tidak ada di master"))</f>
        <v/>
      </c>
      <c r="F330" s="6"/>
      <c r="G330" s="12" t="str">
        <f>IF(D330="","",IFERROR(INDEX('Master Produk'!$C$2:$C$101,MATCH(D330,'Master Produk'!$A$2:$A$101,0)),0)+SUMIFS(F$1:F329,D$1:D329,D330))</f>
        <v/>
      </c>
      <c r="H330" s="12" t="str">
        <f t="shared" si="11"/>
        <v/>
      </c>
      <c r="I330" s="5"/>
      <c r="J330" s="5"/>
      <c r="K330" s="11" t="str">
        <f>IF(D330="","",IF(ISNA(MATCH(D330,'Master Produk'!$A$2:$A$101,0)),"SKU tidak ada di master",IF(AND(C330="Stok masuk",F330&lt;0),"Stok masuk harus +",IF(AND(C330="Stok keluar",F330&gt;0),"Stok keluar harus -",IF(H330&lt;0,"Stok negatif","OK")))))</f>
        <v/>
      </c>
    </row>
    <row r="331" spans="1:11" x14ac:dyDescent="0.3">
      <c r="A331" s="9" t="str">
        <f t="shared" si="10"/>
        <v/>
      </c>
      <c r="B331" s="10"/>
      <c r="C331" s="5"/>
      <c r="D331" s="5"/>
      <c r="E331" s="11" t="str">
        <f>IF(D331="","",IFERROR(INDEX('Master Produk'!$B$2:$B$101,MATCH(D331,'Master Produk'!$A$2:$A$101,0)),"SKU tidak ada di master"))</f>
        <v/>
      </c>
      <c r="F331" s="6"/>
      <c r="G331" s="12" t="str">
        <f>IF(D331="","",IFERROR(INDEX('Master Produk'!$C$2:$C$101,MATCH(D331,'Master Produk'!$A$2:$A$101,0)),0)+SUMIFS(F$1:F330,D$1:D330,D331))</f>
        <v/>
      </c>
      <c r="H331" s="12" t="str">
        <f t="shared" si="11"/>
        <v/>
      </c>
      <c r="I331" s="5"/>
      <c r="J331" s="5"/>
      <c r="K331" s="11" t="str">
        <f>IF(D331="","",IF(ISNA(MATCH(D331,'Master Produk'!$A$2:$A$101,0)),"SKU tidak ada di master",IF(AND(C331="Stok masuk",F331&lt;0),"Stok masuk harus +",IF(AND(C331="Stok keluar",F331&gt;0),"Stok keluar harus -",IF(H331&lt;0,"Stok negatif","OK")))))</f>
        <v/>
      </c>
    </row>
    <row r="332" spans="1:11" x14ac:dyDescent="0.3">
      <c r="A332" s="9" t="str">
        <f t="shared" si="10"/>
        <v/>
      </c>
      <c r="B332" s="10"/>
      <c r="C332" s="5"/>
      <c r="D332" s="5"/>
      <c r="E332" s="11" t="str">
        <f>IF(D332="","",IFERROR(INDEX('Master Produk'!$B$2:$B$101,MATCH(D332,'Master Produk'!$A$2:$A$101,0)),"SKU tidak ada di master"))</f>
        <v/>
      </c>
      <c r="F332" s="6"/>
      <c r="G332" s="12" t="str">
        <f>IF(D332="","",IFERROR(INDEX('Master Produk'!$C$2:$C$101,MATCH(D332,'Master Produk'!$A$2:$A$101,0)),0)+SUMIFS(F$1:F331,D$1:D331,D332))</f>
        <v/>
      </c>
      <c r="H332" s="12" t="str">
        <f t="shared" si="11"/>
        <v/>
      </c>
      <c r="I332" s="5"/>
      <c r="J332" s="5"/>
      <c r="K332" s="11" t="str">
        <f>IF(D332="","",IF(ISNA(MATCH(D332,'Master Produk'!$A$2:$A$101,0)),"SKU tidak ada di master",IF(AND(C332="Stok masuk",F332&lt;0),"Stok masuk harus +",IF(AND(C332="Stok keluar",F332&gt;0),"Stok keluar harus -",IF(H332&lt;0,"Stok negatif","OK")))))</f>
        <v/>
      </c>
    </row>
    <row r="333" spans="1:11" x14ac:dyDescent="0.3">
      <c r="A333" s="9" t="str">
        <f t="shared" si="10"/>
        <v/>
      </c>
      <c r="B333" s="10"/>
      <c r="C333" s="5"/>
      <c r="D333" s="5"/>
      <c r="E333" s="11" t="str">
        <f>IF(D333="","",IFERROR(INDEX('Master Produk'!$B$2:$B$101,MATCH(D333,'Master Produk'!$A$2:$A$101,0)),"SKU tidak ada di master"))</f>
        <v/>
      </c>
      <c r="F333" s="6"/>
      <c r="G333" s="12" t="str">
        <f>IF(D333="","",IFERROR(INDEX('Master Produk'!$C$2:$C$101,MATCH(D333,'Master Produk'!$A$2:$A$101,0)),0)+SUMIFS(F$1:F332,D$1:D332,D333))</f>
        <v/>
      </c>
      <c r="H333" s="12" t="str">
        <f t="shared" si="11"/>
        <v/>
      </c>
      <c r="I333" s="5"/>
      <c r="J333" s="5"/>
      <c r="K333" s="11" t="str">
        <f>IF(D333="","",IF(ISNA(MATCH(D333,'Master Produk'!$A$2:$A$101,0)),"SKU tidak ada di master",IF(AND(C333="Stok masuk",F333&lt;0),"Stok masuk harus +",IF(AND(C333="Stok keluar",F333&gt;0),"Stok keluar harus -",IF(H333&lt;0,"Stok negatif","OK")))))</f>
        <v/>
      </c>
    </row>
    <row r="334" spans="1:11" x14ac:dyDescent="0.3">
      <c r="A334" s="9" t="str">
        <f t="shared" si="10"/>
        <v/>
      </c>
      <c r="B334" s="10"/>
      <c r="C334" s="5"/>
      <c r="D334" s="5"/>
      <c r="E334" s="11" t="str">
        <f>IF(D334="","",IFERROR(INDEX('Master Produk'!$B$2:$B$101,MATCH(D334,'Master Produk'!$A$2:$A$101,0)),"SKU tidak ada di master"))</f>
        <v/>
      </c>
      <c r="F334" s="6"/>
      <c r="G334" s="12" t="str">
        <f>IF(D334="","",IFERROR(INDEX('Master Produk'!$C$2:$C$101,MATCH(D334,'Master Produk'!$A$2:$A$101,0)),0)+SUMIFS(F$1:F333,D$1:D333,D334))</f>
        <v/>
      </c>
      <c r="H334" s="12" t="str">
        <f t="shared" si="11"/>
        <v/>
      </c>
      <c r="I334" s="5"/>
      <c r="J334" s="5"/>
      <c r="K334" s="11" t="str">
        <f>IF(D334="","",IF(ISNA(MATCH(D334,'Master Produk'!$A$2:$A$101,0)),"SKU tidak ada di master",IF(AND(C334="Stok masuk",F334&lt;0),"Stok masuk harus +",IF(AND(C334="Stok keluar",F334&gt;0),"Stok keluar harus -",IF(H334&lt;0,"Stok negatif","OK")))))</f>
        <v/>
      </c>
    </row>
    <row r="335" spans="1:11" x14ac:dyDescent="0.3">
      <c r="A335" s="9" t="str">
        <f t="shared" si="10"/>
        <v/>
      </c>
      <c r="B335" s="10"/>
      <c r="C335" s="5"/>
      <c r="D335" s="5"/>
      <c r="E335" s="11" t="str">
        <f>IF(D335="","",IFERROR(INDEX('Master Produk'!$B$2:$B$101,MATCH(D335,'Master Produk'!$A$2:$A$101,0)),"SKU tidak ada di master"))</f>
        <v/>
      </c>
      <c r="F335" s="6"/>
      <c r="G335" s="12" t="str">
        <f>IF(D335="","",IFERROR(INDEX('Master Produk'!$C$2:$C$101,MATCH(D335,'Master Produk'!$A$2:$A$101,0)),0)+SUMIFS(F$1:F334,D$1:D334,D335))</f>
        <v/>
      </c>
      <c r="H335" s="12" t="str">
        <f t="shared" si="11"/>
        <v/>
      </c>
      <c r="I335" s="5"/>
      <c r="J335" s="5"/>
      <c r="K335" s="11" t="str">
        <f>IF(D335="","",IF(ISNA(MATCH(D335,'Master Produk'!$A$2:$A$101,0)),"SKU tidak ada di master",IF(AND(C335="Stok masuk",F335&lt;0),"Stok masuk harus +",IF(AND(C335="Stok keluar",F335&gt;0),"Stok keluar harus -",IF(H335&lt;0,"Stok negatif","OK")))))</f>
        <v/>
      </c>
    </row>
    <row r="336" spans="1:11" x14ac:dyDescent="0.3">
      <c r="A336" s="9" t="str">
        <f t="shared" si="10"/>
        <v/>
      </c>
      <c r="B336" s="10"/>
      <c r="C336" s="5"/>
      <c r="D336" s="5"/>
      <c r="E336" s="11" t="str">
        <f>IF(D336="","",IFERROR(INDEX('Master Produk'!$B$2:$B$101,MATCH(D336,'Master Produk'!$A$2:$A$101,0)),"SKU tidak ada di master"))</f>
        <v/>
      </c>
      <c r="F336" s="6"/>
      <c r="G336" s="12" t="str">
        <f>IF(D336="","",IFERROR(INDEX('Master Produk'!$C$2:$C$101,MATCH(D336,'Master Produk'!$A$2:$A$101,0)),0)+SUMIFS(F$1:F335,D$1:D335,D336))</f>
        <v/>
      </c>
      <c r="H336" s="12" t="str">
        <f t="shared" si="11"/>
        <v/>
      </c>
      <c r="I336" s="5"/>
      <c r="J336" s="5"/>
      <c r="K336" s="11" t="str">
        <f>IF(D336="","",IF(ISNA(MATCH(D336,'Master Produk'!$A$2:$A$101,0)),"SKU tidak ada di master",IF(AND(C336="Stok masuk",F336&lt;0),"Stok masuk harus +",IF(AND(C336="Stok keluar",F336&gt;0),"Stok keluar harus -",IF(H336&lt;0,"Stok negatif","OK")))))</f>
        <v/>
      </c>
    </row>
    <row r="337" spans="1:11" x14ac:dyDescent="0.3">
      <c r="A337" s="9" t="str">
        <f t="shared" si="10"/>
        <v/>
      </c>
      <c r="B337" s="10"/>
      <c r="C337" s="5"/>
      <c r="D337" s="5"/>
      <c r="E337" s="11" t="str">
        <f>IF(D337="","",IFERROR(INDEX('Master Produk'!$B$2:$B$101,MATCH(D337,'Master Produk'!$A$2:$A$101,0)),"SKU tidak ada di master"))</f>
        <v/>
      </c>
      <c r="F337" s="6"/>
      <c r="G337" s="12" t="str">
        <f>IF(D337="","",IFERROR(INDEX('Master Produk'!$C$2:$C$101,MATCH(D337,'Master Produk'!$A$2:$A$101,0)),0)+SUMIFS(F$1:F336,D$1:D336,D337))</f>
        <v/>
      </c>
      <c r="H337" s="12" t="str">
        <f t="shared" si="11"/>
        <v/>
      </c>
      <c r="I337" s="5"/>
      <c r="J337" s="5"/>
      <c r="K337" s="11" t="str">
        <f>IF(D337="","",IF(ISNA(MATCH(D337,'Master Produk'!$A$2:$A$101,0)),"SKU tidak ada di master",IF(AND(C337="Stok masuk",F337&lt;0),"Stok masuk harus +",IF(AND(C337="Stok keluar",F337&gt;0),"Stok keluar harus -",IF(H337&lt;0,"Stok negatif","OK")))))</f>
        <v/>
      </c>
    </row>
    <row r="338" spans="1:11" x14ac:dyDescent="0.3">
      <c r="A338" s="9" t="str">
        <f t="shared" si="10"/>
        <v/>
      </c>
      <c r="B338" s="10"/>
      <c r="C338" s="5"/>
      <c r="D338" s="5"/>
      <c r="E338" s="11" t="str">
        <f>IF(D338="","",IFERROR(INDEX('Master Produk'!$B$2:$B$101,MATCH(D338,'Master Produk'!$A$2:$A$101,0)),"SKU tidak ada di master"))</f>
        <v/>
      </c>
      <c r="F338" s="6"/>
      <c r="G338" s="12" t="str">
        <f>IF(D338="","",IFERROR(INDEX('Master Produk'!$C$2:$C$101,MATCH(D338,'Master Produk'!$A$2:$A$101,0)),0)+SUMIFS(F$1:F337,D$1:D337,D338))</f>
        <v/>
      </c>
      <c r="H338" s="12" t="str">
        <f t="shared" si="11"/>
        <v/>
      </c>
      <c r="I338" s="5"/>
      <c r="J338" s="5"/>
      <c r="K338" s="11" t="str">
        <f>IF(D338="","",IF(ISNA(MATCH(D338,'Master Produk'!$A$2:$A$101,0)),"SKU tidak ada di master",IF(AND(C338="Stok masuk",F338&lt;0),"Stok masuk harus +",IF(AND(C338="Stok keluar",F338&gt;0),"Stok keluar harus -",IF(H338&lt;0,"Stok negatif","OK")))))</f>
        <v/>
      </c>
    </row>
    <row r="339" spans="1:11" x14ac:dyDescent="0.3">
      <c r="A339" s="9" t="str">
        <f t="shared" si="10"/>
        <v/>
      </c>
      <c r="B339" s="10"/>
      <c r="C339" s="5"/>
      <c r="D339" s="5"/>
      <c r="E339" s="11" t="str">
        <f>IF(D339="","",IFERROR(INDEX('Master Produk'!$B$2:$B$101,MATCH(D339,'Master Produk'!$A$2:$A$101,0)),"SKU tidak ada di master"))</f>
        <v/>
      </c>
      <c r="F339" s="6"/>
      <c r="G339" s="12" t="str">
        <f>IF(D339="","",IFERROR(INDEX('Master Produk'!$C$2:$C$101,MATCH(D339,'Master Produk'!$A$2:$A$101,0)),0)+SUMIFS(F$1:F338,D$1:D338,D339))</f>
        <v/>
      </c>
      <c r="H339" s="12" t="str">
        <f t="shared" si="11"/>
        <v/>
      </c>
      <c r="I339" s="5"/>
      <c r="J339" s="5"/>
      <c r="K339" s="11" t="str">
        <f>IF(D339="","",IF(ISNA(MATCH(D339,'Master Produk'!$A$2:$A$101,0)),"SKU tidak ada di master",IF(AND(C339="Stok masuk",F339&lt;0),"Stok masuk harus +",IF(AND(C339="Stok keluar",F339&gt;0),"Stok keluar harus -",IF(H339&lt;0,"Stok negatif","OK")))))</f>
        <v/>
      </c>
    </row>
    <row r="340" spans="1:11" x14ac:dyDescent="0.3">
      <c r="A340" s="9" t="str">
        <f t="shared" si="10"/>
        <v/>
      </c>
      <c r="B340" s="10"/>
      <c r="C340" s="5"/>
      <c r="D340" s="5"/>
      <c r="E340" s="11" t="str">
        <f>IF(D340="","",IFERROR(INDEX('Master Produk'!$B$2:$B$101,MATCH(D340,'Master Produk'!$A$2:$A$101,0)),"SKU tidak ada di master"))</f>
        <v/>
      </c>
      <c r="F340" s="6"/>
      <c r="G340" s="12" t="str">
        <f>IF(D340="","",IFERROR(INDEX('Master Produk'!$C$2:$C$101,MATCH(D340,'Master Produk'!$A$2:$A$101,0)),0)+SUMIFS(F$1:F339,D$1:D339,D340))</f>
        <v/>
      </c>
      <c r="H340" s="12" t="str">
        <f t="shared" si="11"/>
        <v/>
      </c>
      <c r="I340" s="5"/>
      <c r="J340" s="5"/>
      <c r="K340" s="11" t="str">
        <f>IF(D340="","",IF(ISNA(MATCH(D340,'Master Produk'!$A$2:$A$101,0)),"SKU tidak ada di master",IF(AND(C340="Stok masuk",F340&lt;0),"Stok masuk harus +",IF(AND(C340="Stok keluar",F340&gt;0),"Stok keluar harus -",IF(H340&lt;0,"Stok negatif","OK")))))</f>
        <v/>
      </c>
    </row>
    <row r="341" spans="1:11" x14ac:dyDescent="0.3">
      <c r="A341" s="9" t="str">
        <f t="shared" si="10"/>
        <v/>
      </c>
      <c r="B341" s="10"/>
      <c r="C341" s="5"/>
      <c r="D341" s="5"/>
      <c r="E341" s="11" t="str">
        <f>IF(D341="","",IFERROR(INDEX('Master Produk'!$B$2:$B$101,MATCH(D341,'Master Produk'!$A$2:$A$101,0)),"SKU tidak ada di master"))</f>
        <v/>
      </c>
      <c r="F341" s="6"/>
      <c r="G341" s="12" t="str">
        <f>IF(D341="","",IFERROR(INDEX('Master Produk'!$C$2:$C$101,MATCH(D341,'Master Produk'!$A$2:$A$101,0)),0)+SUMIFS(F$1:F340,D$1:D340,D341))</f>
        <v/>
      </c>
      <c r="H341" s="12" t="str">
        <f t="shared" si="11"/>
        <v/>
      </c>
      <c r="I341" s="5"/>
      <c r="J341" s="5"/>
      <c r="K341" s="11" t="str">
        <f>IF(D341="","",IF(ISNA(MATCH(D341,'Master Produk'!$A$2:$A$101,0)),"SKU tidak ada di master",IF(AND(C341="Stok masuk",F341&lt;0),"Stok masuk harus +",IF(AND(C341="Stok keluar",F341&gt;0),"Stok keluar harus -",IF(H341&lt;0,"Stok negatif","OK")))))</f>
        <v/>
      </c>
    </row>
    <row r="342" spans="1:11" x14ac:dyDescent="0.3">
      <c r="A342" s="9" t="str">
        <f t="shared" si="10"/>
        <v/>
      </c>
      <c r="B342" s="10"/>
      <c r="C342" s="5"/>
      <c r="D342" s="5"/>
      <c r="E342" s="11" t="str">
        <f>IF(D342="","",IFERROR(INDEX('Master Produk'!$B$2:$B$101,MATCH(D342,'Master Produk'!$A$2:$A$101,0)),"SKU tidak ada di master"))</f>
        <v/>
      </c>
      <c r="F342" s="6"/>
      <c r="G342" s="12" t="str">
        <f>IF(D342="","",IFERROR(INDEX('Master Produk'!$C$2:$C$101,MATCH(D342,'Master Produk'!$A$2:$A$101,0)),0)+SUMIFS(F$1:F341,D$1:D341,D342))</f>
        <v/>
      </c>
      <c r="H342" s="12" t="str">
        <f t="shared" si="11"/>
        <v/>
      </c>
      <c r="I342" s="5"/>
      <c r="J342" s="5"/>
      <c r="K342" s="11" t="str">
        <f>IF(D342="","",IF(ISNA(MATCH(D342,'Master Produk'!$A$2:$A$101,0)),"SKU tidak ada di master",IF(AND(C342="Stok masuk",F342&lt;0),"Stok masuk harus +",IF(AND(C342="Stok keluar",F342&gt;0),"Stok keluar harus -",IF(H342&lt;0,"Stok negatif","OK")))))</f>
        <v/>
      </c>
    </row>
    <row r="343" spans="1:11" x14ac:dyDescent="0.3">
      <c r="A343" s="9" t="str">
        <f t="shared" si="10"/>
        <v/>
      </c>
      <c r="B343" s="10"/>
      <c r="C343" s="5"/>
      <c r="D343" s="5"/>
      <c r="E343" s="11" t="str">
        <f>IF(D343="","",IFERROR(INDEX('Master Produk'!$B$2:$B$101,MATCH(D343,'Master Produk'!$A$2:$A$101,0)),"SKU tidak ada di master"))</f>
        <v/>
      </c>
      <c r="F343" s="6"/>
      <c r="G343" s="12" t="str">
        <f>IF(D343="","",IFERROR(INDEX('Master Produk'!$C$2:$C$101,MATCH(D343,'Master Produk'!$A$2:$A$101,0)),0)+SUMIFS(F$1:F342,D$1:D342,D343))</f>
        <v/>
      </c>
      <c r="H343" s="12" t="str">
        <f t="shared" si="11"/>
        <v/>
      </c>
      <c r="I343" s="5"/>
      <c r="J343" s="5"/>
      <c r="K343" s="11" t="str">
        <f>IF(D343="","",IF(ISNA(MATCH(D343,'Master Produk'!$A$2:$A$101,0)),"SKU tidak ada di master",IF(AND(C343="Stok masuk",F343&lt;0),"Stok masuk harus +",IF(AND(C343="Stok keluar",F343&gt;0),"Stok keluar harus -",IF(H343&lt;0,"Stok negatif","OK")))))</f>
        <v/>
      </c>
    </row>
    <row r="344" spans="1:11" x14ac:dyDescent="0.3">
      <c r="A344" s="9" t="str">
        <f t="shared" si="10"/>
        <v/>
      </c>
      <c r="B344" s="10"/>
      <c r="C344" s="5"/>
      <c r="D344" s="5"/>
      <c r="E344" s="11" t="str">
        <f>IF(D344="","",IFERROR(INDEX('Master Produk'!$B$2:$B$101,MATCH(D344,'Master Produk'!$A$2:$A$101,0)),"SKU tidak ada di master"))</f>
        <v/>
      </c>
      <c r="F344" s="6"/>
      <c r="G344" s="12" t="str">
        <f>IF(D344="","",IFERROR(INDEX('Master Produk'!$C$2:$C$101,MATCH(D344,'Master Produk'!$A$2:$A$101,0)),0)+SUMIFS(F$1:F343,D$1:D343,D344))</f>
        <v/>
      </c>
      <c r="H344" s="12" t="str">
        <f t="shared" si="11"/>
        <v/>
      </c>
      <c r="I344" s="5"/>
      <c r="J344" s="5"/>
      <c r="K344" s="11" t="str">
        <f>IF(D344="","",IF(ISNA(MATCH(D344,'Master Produk'!$A$2:$A$101,0)),"SKU tidak ada di master",IF(AND(C344="Stok masuk",F344&lt;0),"Stok masuk harus +",IF(AND(C344="Stok keluar",F344&gt;0),"Stok keluar harus -",IF(H344&lt;0,"Stok negatif","OK")))))</f>
        <v/>
      </c>
    </row>
    <row r="345" spans="1:11" x14ac:dyDescent="0.3">
      <c r="A345" s="9" t="str">
        <f t="shared" si="10"/>
        <v/>
      </c>
      <c r="B345" s="10"/>
      <c r="C345" s="5"/>
      <c r="D345" s="5"/>
      <c r="E345" s="11" t="str">
        <f>IF(D345="","",IFERROR(INDEX('Master Produk'!$B$2:$B$101,MATCH(D345,'Master Produk'!$A$2:$A$101,0)),"SKU tidak ada di master"))</f>
        <v/>
      </c>
      <c r="F345" s="6"/>
      <c r="G345" s="12" t="str">
        <f>IF(D345="","",IFERROR(INDEX('Master Produk'!$C$2:$C$101,MATCH(D345,'Master Produk'!$A$2:$A$101,0)),0)+SUMIFS(F$1:F344,D$1:D344,D345))</f>
        <v/>
      </c>
      <c r="H345" s="12" t="str">
        <f t="shared" si="11"/>
        <v/>
      </c>
      <c r="I345" s="5"/>
      <c r="J345" s="5"/>
      <c r="K345" s="11" t="str">
        <f>IF(D345="","",IF(ISNA(MATCH(D345,'Master Produk'!$A$2:$A$101,0)),"SKU tidak ada di master",IF(AND(C345="Stok masuk",F345&lt;0),"Stok masuk harus +",IF(AND(C345="Stok keluar",F345&gt;0),"Stok keluar harus -",IF(H345&lt;0,"Stok negatif","OK")))))</f>
        <v/>
      </c>
    </row>
    <row r="346" spans="1:11" x14ac:dyDescent="0.3">
      <c r="A346" s="9" t="str">
        <f t="shared" si="10"/>
        <v/>
      </c>
      <c r="B346" s="10"/>
      <c r="C346" s="5"/>
      <c r="D346" s="5"/>
      <c r="E346" s="11" t="str">
        <f>IF(D346="","",IFERROR(INDEX('Master Produk'!$B$2:$B$101,MATCH(D346,'Master Produk'!$A$2:$A$101,0)),"SKU tidak ada di master"))</f>
        <v/>
      </c>
      <c r="F346" s="6"/>
      <c r="G346" s="12" t="str">
        <f>IF(D346="","",IFERROR(INDEX('Master Produk'!$C$2:$C$101,MATCH(D346,'Master Produk'!$A$2:$A$101,0)),0)+SUMIFS(F$1:F345,D$1:D345,D346))</f>
        <v/>
      </c>
      <c r="H346" s="12" t="str">
        <f t="shared" si="11"/>
        <v/>
      </c>
      <c r="I346" s="5"/>
      <c r="J346" s="5"/>
      <c r="K346" s="11" t="str">
        <f>IF(D346="","",IF(ISNA(MATCH(D346,'Master Produk'!$A$2:$A$101,0)),"SKU tidak ada di master",IF(AND(C346="Stok masuk",F346&lt;0),"Stok masuk harus +",IF(AND(C346="Stok keluar",F346&gt;0),"Stok keluar harus -",IF(H346&lt;0,"Stok negatif","OK")))))</f>
        <v/>
      </c>
    </row>
    <row r="347" spans="1:11" x14ac:dyDescent="0.3">
      <c r="A347" s="9" t="str">
        <f t="shared" si="10"/>
        <v/>
      </c>
      <c r="B347" s="10"/>
      <c r="C347" s="5"/>
      <c r="D347" s="5"/>
      <c r="E347" s="11" t="str">
        <f>IF(D347="","",IFERROR(INDEX('Master Produk'!$B$2:$B$101,MATCH(D347,'Master Produk'!$A$2:$A$101,0)),"SKU tidak ada di master"))</f>
        <v/>
      </c>
      <c r="F347" s="6"/>
      <c r="G347" s="12" t="str">
        <f>IF(D347="","",IFERROR(INDEX('Master Produk'!$C$2:$C$101,MATCH(D347,'Master Produk'!$A$2:$A$101,0)),0)+SUMIFS(F$1:F346,D$1:D346,D347))</f>
        <v/>
      </c>
      <c r="H347" s="12" t="str">
        <f t="shared" si="11"/>
        <v/>
      </c>
      <c r="I347" s="5"/>
      <c r="J347" s="5"/>
      <c r="K347" s="11" t="str">
        <f>IF(D347="","",IF(ISNA(MATCH(D347,'Master Produk'!$A$2:$A$101,0)),"SKU tidak ada di master",IF(AND(C347="Stok masuk",F347&lt;0),"Stok masuk harus +",IF(AND(C347="Stok keluar",F347&gt;0),"Stok keluar harus -",IF(H347&lt;0,"Stok negatif","OK")))))</f>
        <v/>
      </c>
    </row>
    <row r="348" spans="1:11" x14ac:dyDescent="0.3">
      <c r="A348" s="9" t="str">
        <f t="shared" si="10"/>
        <v/>
      </c>
      <c r="B348" s="10"/>
      <c r="C348" s="5"/>
      <c r="D348" s="5"/>
      <c r="E348" s="11" t="str">
        <f>IF(D348="","",IFERROR(INDEX('Master Produk'!$B$2:$B$101,MATCH(D348,'Master Produk'!$A$2:$A$101,0)),"SKU tidak ada di master"))</f>
        <v/>
      </c>
      <c r="F348" s="6"/>
      <c r="G348" s="12" t="str">
        <f>IF(D348="","",IFERROR(INDEX('Master Produk'!$C$2:$C$101,MATCH(D348,'Master Produk'!$A$2:$A$101,0)),0)+SUMIFS(F$1:F347,D$1:D347,D348))</f>
        <v/>
      </c>
      <c r="H348" s="12" t="str">
        <f t="shared" si="11"/>
        <v/>
      </c>
      <c r="I348" s="5"/>
      <c r="J348" s="5"/>
      <c r="K348" s="11" t="str">
        <f>IF(D348="","",IF(ISNA(MATCH(D348,'Master Produk'!$A$2:$A$101,0)),"SKU tidak ada di master",IF(AND(C348="Stok masuk",F348&lt;0),"Stok masuk harus +",IF(AND(C348="Stok keluar",F348&gt;0),"Stok keluar harus -",IF(H348&lt;0,"Stok negatif","OK")))))</f>
        <v/>
      </c>
    </row>
    <row r="349" spans="1:11" x14ac:dyDescent="0.3">
      <c r="A349" s="9" t="str">
        <f t="shared" si="10"/>
        <v/>
      </c>
      <c r="B349" s="10"/>
      <c r="C349" s="5"/>
      <c r="D349" s="5"/>
      <c r="E349" s="11" t="str">
        <f>IF(D349="","",IFERROR(INDEX('Master Produk'!$B$2:$B$101,MATCH(D349,'Master Produk'!$A$2:$A$101,0)),"SKU tidak ada di master"))</f>
        <v/>
      </c>
      <c r="F349" s="6"/>
      <c r="G349" s="12" t="str">
        <f>IF(D349="","",IFERROR(INDEX('Master Produk'!$C$2:$C$101,MATCH(D349,'Master Produk'!$A$2:$A$101,0)),0)+SUMIFS(F$1:F348,D$1:D348,D349))</f>
        <v/>
      </c>
      <c r="H349" s="12" t="str">
        <f t="shared" si="11"/>
        <v/>
      </c>
      <c r="I349" s="5"/>
      <c r="J349" s="5"/>
      <c r="K349" s="11" t="str">
        <f>IF(D349="","",IF(ISNA(MATCH(D349,'Master Produk'!$A$2:$A$101,0)),"SKU tidak ada di master",IF(AND(C349="Stok masuk",F349&lt;0),"Stok masuk harus +",IF(AND(C349="Stok keluar",F349&gt;0),"Stok keluar harus -",IF(H349&lt;0,"Stok negatif","OK")))))</f>
        <v/>
      </c>
    </row>
    <row r="350" spans="1:11" x14ac:dyDescent="0.3">
      <c r="A350" s="9" t="str">
        <f t="shared" si="10"/>
        <v/>
      </c>
      <c r="B350" s="10"/>
      <c r="C350" s="5"/>
      <c r="D350" s="5"/>
      <c r="E350" s="11" t="str">
        <f>IF(D350="","",IFERROR(INDEX('Master Produk'!$B$2:$B$101,MATCH(D350,'Master Produk'!$A$2:$A$101,0)),"SKU tidak ada di master"))</f>
        <v/>
      </c>
      <c r="F350" s="6"/>
      <c r="G350" s="12" t="str">
        <f>IF(D350="","",IFERROR(INDEX('Master Produk'!$C$2:$C$101,MATCH(D350,'Master Produk'!$A$2:$A$101,0)),0)+SUMIFS(F$1:F349,D$1:D349,D350))</f>
        <v/>
      </c>
      <c r="H350" s="12" t="str">
        <f t="shared" si="11"/>
        <v/>
      </c>
      <c r="I350" s="5"/>
      <c r="J350" s="5"/>
      <c r="K350" s="11" t="str">
        <f>IF(D350="","",IF(ISNA(MATCH(D350,'Master Produk'!$A$2:$A$101,0)),"SKU tidak ada di master",IF(AND(C350="Stok masuk",F350&lt;0),"Stok masuk harus +",IF(AND(C350="Stok keluar",F350&gt;0),"Stok keluar harus -",IF(H350&lt;0,"Stok negatif","OK")))))</f>
        <v/>
      </c>
    </row>
    <row r="351" spans="1:11" x14ac:dyDescent="0.3">
      <c r="A351" s="9" t="str">
        <f t="shared" si="10"/>
        <v/>
      </c>
      <c r="B351" s="10"/>
      <c r="C351" s="5"/>
      <c r="D351" s="5"/>
      <c r="E351" s="11" t="str">
        <f>IF(D351="","",IFERROR(INDEX('Master Produk'!$B$2:$B$101,MATCH(D351,'Master Produk'!$A$2:$A$101,0)),"SKU tidak ada di master"))</f>
        <v/>
      </c>
      <c r="F351" s="6"/>
      <c r="G351" s="12" t="str">
        <f>IF(D351="","",IFERROR(INDEX('Master Produk'!$C$2:$C$101,MATCH(D351,'Master Produk'!$A$2:$A$101,0)),0)+SUMIFS(F$1:F350,D$1:D350,D351))</f>
        <v/>
      </c>
      <c r="H351" s="12" t="str">
        <f t="shared" si="11"/>
        <v/>
      </c>
      <c r="I351" s="5"/>
      <c r="J351" s="5"/>
      <c r="K351" s="11" t="str">
        <f>IF(D351="","",IF(ISNA(MATCH(D351,'Master Produk'!$A$2:$A$101,0)),"SKU tidak ada di master",IF(AND(C351="Stok masuk",F351&lt;0),"Stok masuk harus +",IF(AND(C351="Stok keluar",F351&gt;0),"Stok keluar harus -",IF(H351&lt;0,"Stok negatif","OK")))))</f>
        <v/>
      </c>
    </row>
    <row r="352" spans="1:11" x14ac:dyDescent="0.3">
      <c r="A352" s="9" t="str">
        <f t="shared" si="10"/>
        <v/>
      </c>
      <c r="B352" s="10"/>
      <c r="C352" s="5"/>
      <c r="D352" s="5"/>
      <c r="E352" s="11" t="str">
        <f>IF(D352="","",IFERROR(INDEX('Master Produk'!$B$2:$B$101,MATCH(D352,'Master Produk'!$A$2:$A$101,0)),"SKU tidak ada di master"))</f>
        <v/>
      </c>
      <c r="F352" s="6"/>
      <c r="G352" s="12" t="str">
        <f>IF(D352="","",IFERROR(INDEX('Master Produk'!$C$2:$C$101,MATCH(D352,'Master Produk'!$A$2:$A$101,0)),0)+SUMIFS(F$1:F351,D$1:D351,D352))</f>
        <v/>
      </c>
      <c r="H352" s="12" t="str">
        <f t="shared" si="11"/>
        <v/>
      </c>
      <c r="I352" s="5"/>
      <c r="J352" s="5"/>
      <c r="K352" s="11" t="str">
        <f>IF(D352="","",IF(ISNA(MATCH(D352,'Master Produk'!$A$2:$A$101,0)),"SKU tidak ada di master",IF(AND(C352="Stok masuk",F352&lt;0),"Stok masuk harus +",IF(AND(C352="Stok keluar",F352&gt;0),"Stok keluar harus -",IF(H352&lt;0,"Stok negatif","OK")))))</f>
        <v/>
      </c>
    </row>
    <row r="353" spans="1:11" x14ac:dyDescent="0.3">
      <c r="A353" s="9" t="str">
        <f t="shared" si="10"/>
        <v/>
      </c>
      <c r="B353" s="10"/>
      <c r="C353" s="5"/>
      <c r="D353" s="5"/>
      <c r="E353" s="11" t="str">
        <f>IF(D353="","",IFERROR(INDEX('Master Produk'!$B$2:$B$101,MATCH(D353,'Master Produk'!$A$2:$A$101,0)),"SKU tidak ada di master"))</f>
        <v/>
      </c>
      <c r="F353" s="6"/>
      <c r="G353" s="12" t="str">
        <f>IF(D353="","",IFERROR(INDEX('Master Produk'!$C$2:$C$101,MATCH(D353,'Master Produk'!$A$2:$A$101,0)),0)+SUMIFS(F$1:F352,D$1:D352,D353))</f>
        <v/>
      </c>
      <c r="H353" s="12" t="str">
        <f t="shared" si="11"/>
        <v/>
      </c>
      <c r="I353" s="5"/>
      <c r="J353" s="5"/>
      <c r="K353" s="11" t="str">
        <f>IF(D353="","",IF(ISNA(MATCH(D353,'Master Produk'!$A$2:$A$101,0)),"SKU tidak ada di master",IF(AND(C353="Stok masuk",F353&lt;0),"Stok masuk harus +",IF(AND(C353="Stok keluar",F353&gt;0),"Stok keluar harus -",IF(H353&lt;0,"Stok negatif","OK")))))</f>
        <v/>
      </c>
    </row>
    <row r="354" spans="1:11" x14ac:dyDescent="0.3">
      <c r="A354" s="9" t="str">
        <f t="shared" si="10"/>
        <v/>
      </c>
      <c r="B354" s="10"/>
      <c r="C354" s="5"/>
      <c r="D354" s="5"/>
      <c r="E354" s="11" t="str">
        <f>IF(D354="","",IFERROR(INDEX('Master Produk'!$B$2:$B$101,MATCH(D354,'Master Produk'!$A$2:$A$101,0)),"SKU tidak ada di master"))</f>
        <v/>
      </c>
      <c r="F354" s="6"/>
      <c r="G354" s="12" t="str">
        <f>IF(D354="","",IFERROR(INDEX('Master Produk'!$C$2:$C$101,MATCH(D354,'Master Produk'!$A$2:$A$101,0)),0)+SUMIFS(F$1:F353,D$1:D353,D354))</f>
        <v/>
      </c>
      <c r="H354" s="12" t="str">
        <f t="shared" si="11"/>
        <v/>
      </c>
      <c r="I354" s="5"/>
      <c r="J354" s="5"/>
      <c r="K354" s="11" t="str">
        <f>IF(D354="","",IF(ISNA(MATCH(D354,'Master Produk'!$A$2:$A$101,0)),"SKU tidak ada di master",IF(AND(C354="Stok masuk",F354&lt;0),"Stok masuk harus +",IF(AND(C354="Stok keluar",F354&gt;0),"Stok keluar harus -",IF(H354&lt;0,"Stok negatif","OK")))))</f>
        <v/>
      </c>
    </row>
    <row r="355" spans="1:11" x14ac:dyDescent="0.3">
      <c r="A355" s="9" t="str">
        <f t="shared" si="10"/>
        <v/>
      </c>
      <c r="B355" s="10"/>
      <c r="C355" s="5"/>
      <c r="D355" s="5"/>
      <c r="E355" s="11" t="str">
        <f>IF(D355="","",IFERROR(INDEX('Master Produk'!$B$2:$B$101,MATCH(D355,'Master Produk'!$A$2:$A$101,0)),"SKU tidak ada di master"))</f>
        <v/>
      </c>
      <c r="F355" s="6"/>
      <c r="G355" s="12" t="str">
        <f>IF(D355="","",IFERROR(INDEX('Master Produk'!$C$2:$C$101,MATCH(D355,'Master Produk'!$A$2:$A$101,0)),0)+SUMIFS(F$1:F354,D$1:D354,D355))</f>
        <v/>
      </c>
      <c r="H355" s="12" t="str">
        <f t="shared" si="11"/>
        <v/>
      </c>
      <c r="I355" s="5"/>
      <c r="J355" s="5"/>
      <c r="K355" s="11" t="str">
        <f>IF(D355="","",IF(ISNA(MATCH(D355,'Master Produk'!$A$2:$A$101,0)),"SKU tidak ada di master",IF(AND(C355="Stok masuk",F355&lt;0),"Stok masuk harus +",IF(AND(C355="Stok keluar",F355&gt;0),"Stok keluar harus -",IF(H355&lt;0,"Stok negatif","OK")))))</f>
        <v/>
      </c>
    </row>
    <row r="356" spans="1:11" x14ac:dyDescent="0.3">
      <c r="A356" s="9" t="str">
        <f t="shared" si="10"/>
        <v/>
      </c>
      <c r="B356" s="10"/>
      <c r="C356" s="5"/>
      <c r="D356" s="5"/>
      <c r="E356" s="11" t="str">
        <f>IF(D356="","",IFERROR(INDEX('Master Produk'!$B$2:$B$101,MATCH(D356,'Master Produk'!$A$2:$A$101,0)),"SKU tidak ada di master"))</f>
        <v/>
      </c>
      <c r="F356" s="6"/>
      <c r="G356" s="12" t="str">
        <f>IF(D356="","",IFERROR(INDEX('Master Produk'!$C$2:$C$101,MATCH(D356,'Master Produk'!$A$2:$A$101,0)),0)+SUMIFS(F$1:F355,D$1:D355,D356))</f>
        <v/>
      </c>
      <c r="H356" s="12" t="str">
        <f t="shared" si="11"/>
        <v/>
      </c>
      <c r="I356" s="5"/>
      <c r="J356" s="5"/>
      <c r="K356" s="11" t="str">
        <f>IF(D356="","",IF(ISNA(MATCH(D356,'Master Produk'!$A$2:$A$101,0)),"SKU tidak ada di master",IF(AND(C356="Stok masuk",F356&lt;0),"Stok masuk harus +",IF(AND(C356="Stok keluar",F356&gt;0),"Stok keluar harus -",IF(H356&lt;0,"Stok negatif","OK")))))</f>
        <v/>
      </c>
    </row>
    <row r="357" spans="1:11" x14ac:dyDescent="0.3">
      <c r="A357" s="9" t="str">
        <f t="shared" si="10"/>
        <v/>
      </c>
      <c r="B357" s="10"/>
      <c r="C357" s="5"/>
      <c r="D357" s="5"/>
      <c r="E357" s="11" t="str">
        <f>IF(D357="","",IFERROR(INDEX('Master Produk'!$B$2:$B$101,MATCH(D357,'Master Produk'!$A$2:$A$101,0)),"SKU tidak ada di master"))</f>
        <v/>
      </c>
      <c r="F357" s="6"/>
      <c r="G357" s="12" t="str">
        <f>IF(D357="","",IFERROR(INDEX('Master Produk'!$C$2:$C$101,MATCH(D357,'Master Produk'!$A$2:$A$101,0)),0)+SUMIFS(F$1:F356,D$1:D356,D357))</f>
        <v/>
      </c>
      <c r="H357" s="12" t="str">
        <f t="shared" si="11"/>
        <v/>
      </c>
      <c r="I357" s="5"/>
      <c r="J357" s="5"/>
      <c r="K357" s="11" t="str">
        <f>IF(D357="","",IF(ISNA(MATCH(D357,'Master Produk'!$A$2:$A$101,0)),"SKU tidak ada di master",IF(AND(C357="Stok masuk",F357&lt;0),"Stok masuk harus +",IF(AND(C357="Stok keluar",F357&gt;0),"Stok keluar harus -",IF(H357&lt;0,"Stok negatif","OK")))))</f>
        <v/>
      </c>
    </row>
    <row r="358" spans="1:11" x14ac:dyDescent="0.3">
      <c r="A358" s="9" t="str">
        <f t="shared" si="10"/>
        <v/>
      </c>
      <c r="B358" s="10"/>
      <c r="C358" s="5"/>
      <c r="D358" s="5"/>
      <c r="E358" s="11" t="str">
        <f>IF(D358="","",IFERROR(INDEX('Master Produk'!$B$2:$B$101,MATCH(D358,'Master Produk'!$A$2:$A$101,0)),"SKU tidak ada di master"))</f>
        <v/>
      </c>
      <c r="F358" s="6"/>
      <c r="G358" s="12" t="str">
        <f>IF(D358="","",IFERROR(INDEX('Master Produk'!$C$2:$C$101,MATCH(D358,'Master Produk'!$A$2:$A$101,0)),0)+SUMIFS(F$1:F357,D$1:D357,D358))</f>
        <v/>
      </c>
      <c r="H358" s="12" t="str">
        <f t="shared" si="11"/>
        <v/>
      </c>
      <c r="I358" s="5"/>
      <c r="J358" s="5"/>
      <c r="K358" s="11" t="str">
        <f>IF(D358="","",IF(ISNA(MATCH(D358,'Master Produk'!$A$2:$A$101,0)),"SKU tidak ada di master",IF(AND(C358="Stok masuk",F358&lt;0),"Stok masuk harus +",IF(AND(C358="Stok keluar",F358&gt;0),"Stok keluar harus -",IF(H358&lt;0,"Stok negatif","OK")))))</f>
        <v/>
      </c>
    </row>
    <row r="359" spans="1:11" x14ac:dyDescent="0.3">
      <c r="A359" s="9" t="str">
        <f t="shared" si="10"/>
        <v/>
      </c>
      <c r="B359" s="10"/>
      <c r="C359" s="5"/>
      <c r="D359" s="5"/>
      <c r="E359" s="11" t="str">
        <f>IF(D359="","",IFERROR(INDEX('Master Produk'!$B$2:$B$101,MATCH(D359,'Master Produk'!$A$2:$A$101,0)),"SKU tidak ada di master"))</f>
        <v/>
      </c>
      <c r="F359" s="6"/>
      <c r="G359" s="12" t="str">
        <f>IF(D359="","",IFERROR(INDEX('Master Produk'!$C$2:$C$101,MATCH(D359,'Master Produk'!$A$2:$A$101,0)),0)+SUMIFS(F$1:F358,D$1:D358,D359))</f>
        <v/>
      </c>
      <c r="H359" s="12" t="str">
        <f t="shared" si="11"/>
        <v/>
      </c>
      <c r="I359" s="5"/>
      <c r="J359" s="5"/>
      <c r="K359" s="11" t="str">
        <f>IF(D359="","",IF(ISNA(MATCH(D359,'Master Produk'!$A$2:$A$101,0)),"SKU tidak ada di master",IF(AND(C359="Stok masuk",F359&lt;0),"Stok masuk harus +",IF(AND(C359="Stok keluar",F359&gt;0),"Stok keluar harus -",IF(H359&lt;0,"Stok negatif","OK")))))</f>
        <v/>
      </c>
    </row>
    <row r="360" spans="1:11" x14ac:dyDescent="0.3">
      <c r="A360" s="9" t="str">
        <f t="shared" si="10"/>
        <v/>
      </c>
      <c r="B360" s="10"/>
      <c r="C360" s="5"/>
      <c r="D360" s="5"/>
      <c r="E360" s="11" t="str">
        <f>IF(D360="","",IFERROR(INDEX('Master Produk'!$B$2:$B$101,MATCH(D360,'Master Produk'!$A$2:$A$101,0)),"SKU tidak ada di master"))</f>
        <v/>
      </c>
      <c r="F360" s="6"/>
      <c r="G360" s="12" t="str">
        <f>IF(D360="","",IFERROR(INDEX('Master Produk'!$C$2:$C$101,MATCH(D360,'Master Produk'!$A$2:$A$101,0)),0)+SUMIFS(F$1:F359,D$1:D359,D360))</f>
        <v/>
      </c>
      <c r="H360" s="12" t="str">
        <f t="shared" si="11"/>
        <v/>
      </c>
      <c r="I360" s="5"/>
      <c r="J360" s="5"/>
      <c r="K360" s="11" t="str">
        <f>IF(D360="","",IF(ISNA(MATCH(D360,'Master Produk'!$A$2:$A$101,0)),"SKU tidak ada di master",IF(AND(C360="Stok masuk",F360&lt;0),"Stok masuk harus +",IF(AND(C360="Stok keluar",F360&gt;0),"Stok keluar harus -",IF(H360&lt;0,"Stok negatif","OK")))))</f>
        <v/>
      </c>
    </row>
    <row r="361" spans="1:11" x14ac:dyDescent="0.3">
      <c r="A361" s="9" t="str">
        <f t="shared" si="10"/>
        <v/>
      </c>
      <c r="B361" s="10"/>
      <c r="C361" s="5"/>
      <c r="D361" s="5"/>
      <c r="E361" s="11" t="str">
        <f>IF(D361="","",IFERROR(INDEX('Master Produk'!$B$2:$B$101,MATCH(D361,'Master Produk'!$A$2:$A$101,0)),"SKU tidak ada di master"))</f>
        <v/>
      </c>
      <c r="F361" s="6"/>
      <c r="G361" s="12" t="str">
        <f>IF(D361="","",IFERROR(INDEX('Master Produk'!$C$2:$C$101,MATCH(D361,'Master Produk'!$A$2:$A$101,0)),0)+SUMIFS(F$1:F360,D$1:D360,D361))</f>
        <v/>
      </c>
      <c r="H361" s="12" t="str">
        <f t="shared" si="11"/>
        <v/>
      </c>
      <c r="I361" s="5"/>
      <c r="J361" s="5"/>
      <c r="K361" s="11" t="str">
        <f>IF(D361="","",IF(ISNA(MATCH(D361,'Master Produk'!$A$2:$A$101,0)),"SKU tidak ada di master",IF(AND(C361="Stok masuk",F361&lt;0),"Stok masuk harus +",IF(AND(C361="Stok keluar",F361&gt;0),"Stok keluar harus -",IF(H361&lt;0,"Stok negatif","OK")))))</f>
        <v/>
      </c>
    </row>
    <row r="362" spans="1:11" x14ac:dyDescent="0.3">
      <c r="A362" s="9" t="str">
        <f t="shared" si="10"/>
        <v/>
      </c>
      <c r="B362" s="10"/>
      <c r="C362" s="5"/>
      <c r="D362" s="5"/>
      <c r="E362" s="11" t="str">
        <f>IF(D362="","",IFERROR(INDEX('Master Produk'!$B$2:$B$101,MATCH(D362,'Master Produk'!$A$2:$A$101,0)),"SKU tidak ada di master"))</f>
        <v/>
      </c>
      <c r="F362" s="6"/>
      <c r="G362" s="12" t="str">
        <f>IF(D362="","",IFERROR(INDEX('Master Produk'!$C$2:$C$101,MATCH(D362,'Master Produk'!$A$2:$A$101,0)),0)+SUMIFS(F$1:F361,D$1:D361,D362))</f>
        <v/>
      </c>
      <c r="H362" s="12" t="str">
        <f t="shared" si="11"/>
        <v/>
      </c>
      <c r="I362" s="5"/>
      <c r="J362" s="5"/>
      <c r="K362" s="11" t="str">
        <f>IF(D362="","",IF(ISNA(MATCH(D362,'Master Produk'!$A$2:$A$101,0)),"SKU tidak ada di master",IF(AND(C362="Stok masuk",F362&lt;0),"Stok masuk harus +",IF(AND(C362="Stok keluar",F362&gt;0),"Stok keluar harus -",IF(H362&lt;0,"Stok negatif","OK")))))</f>
        <v/>
      </c>
    </row>
    <row r="363" spans="1:11" x14ac:dyDescent="0.3">
      <c r="A363" s="9" t="str">
        <f t="shared" si="10"/>
        <v/>
      </c>
      <c r="B363" s="10"/>
      <c r="C363" s="5"/>
      <c r="D363" s="5"/>
      <c r="E363" s="11" t="str">
        <f>IF(D363="","",IFERROR(INDEX('Master Produk'!$B$2:$B$101,MATCH(D363,'Master Produk'!$A$2:$A$101,0)),"SKU tidak ada di master"))</f>
        <v/>
      </c>
      <c r="F363" s="6"/>
      <c r="G363" s="12" t="str">
        <f>IF(D363="","",IFERROR(INDEX('Master Produk'!$C$2:$C$101,MATCH(D363,'Master Produk'!$A$2:$A$101,0)),0)+SUMIFS(F$1:F362,D$1:D362,D363))</f>
        <v/>
      </c>
      <c r="H363" s="12" t="str">
        <f t="shared" si="11"/>
        <v/>
      </c>
      <c r="I363" s="5"/>
      <c r="J363" s="5"/>
      <c r="K363" s="11" t="str">
        <f>IF(D363="","",IF(ISNA(MATCH(D363,'Master Produk'!$A$2:$A$101,0)),"SKU tidak ada di master",IF(AND(C363="Stok masuk",F363&lt;0),"Stok masuk harus +",IF(AND(C363="Stok keluar",F363&gt;0),"Stok keluar harus -",IF(H363&lt;0,"Stok negatif","OK")))))</f>
        <v/>
      </c>
    </row>
    <row r="364" spans="1:11" x14ac:dyDescent="0.3">
      <c r="A364" s="9" t="str">
        <f t="shared" si="10"/>
        <v/>
      </c>
      <c r="B364" s="10"/>
      <c r="C364" s="5"/>
      <c r="D364" s="5"/>
      <c r="E364" s="11" t="str">
        <f>IF(D364="","",IFERROR(INDEX('Master Produk'!$B$2:$B$101,MATCH(D364,'Master Produk'!$A$2:$A$101,0)),"SKU tidak ada di master"))</f>
        <v/>
      </c>
      <c r="F364" s="6"/>
      <c r="G364" s="12" t="str">
        <f>IF(D364="","",IFERROR(INDEX('Master Produk'!$C$2:$C$101,MATCH(D364,'Master Produk'!$A$2:$A$101,0)),0)+SUMIFS(F$1:F363,D$1:D363,D364))</f>
        <v/>
      </c>
      <c r="H364" s="12" t="str">
        <f t="shared" si="11"/>
        <v/>
      </c>
      <c r="I364" s="5"/>
      <c r="J364" s="5"/>
      <c r="K364" s="11" t="str">
        <f>IF(D364="","",IF(ISNA(MATCH(D364,'Master Produk'!$A$2:$A$101,0)),"SKU tidak ada di master",IF(AND(C364="Stok masuk",F364&lt;0),"Stok masuk harus +",IF(AND(C364="Stok keluar",F364&gt;0),"Stok keluar harus -",IF(H364&lt;0,"Stok negatif","OK")))))</f>
        <v/>
      </c>
    </row>
    <row r="365" spans="1:11" x14ac:dyDescent="0.3">
      <c r="A365" s="9" t="str">
        <f t="shared" si="10"/>
        <v/>
      </c>
      <c r="B365" s="10"/>
      <c r="C365" s="5"/>
      <c r="D365" s="5"/>
      <c r="E365" s="11" t="str">
        <f>IF(D365="","",IFERROR(INDEX('Master Produk'!$B$2:$B$101,MATCH(D365,'Master Produk'!$A$2:$A$101,0)),"SKU tidak ada di master"))</f>
        <v/>
      </c>
      <c r="F365" s="6"/>
      <c r="G365" s="12" t="str">
        <f>IF(D365="","",IFERROR(INDEX('Master Produk'!$C$2:$C$101,MATCH(D365,'Master Produk'!$A$2:$A$101,0)),0)+SUMIFS(F$1:F364,D$1:D364,D365))</f>
        <v/>
      </c>
      <c r="H365" s="12" t="str">
        <f t="shared" si="11"/>
        <v/>
      </c>
      <c r="I365" s="5"/>
      <c r="J365" s="5"/>
      <c r="K365" s="11" t="str">
        <f>IF(D365="","",IF(ISNA(MATCH(D365,'Master Produk'!$A$2:$A$101,0)),"SKU tidak ada di master",IF(AND(C365="Stok masuk",F365&lt;0),"Stok masuk harus +",IF(AND(C365="Stok keluar",F365&gt;0),"Stok keluar harus -",IF(H365&lt;0,"Stok negatif","OK")))))</f>
        <v/>
      </c>
    </row>
    <row r="366" spans="1:11" x14ac:dyDescent="0.3">
      <c r="A366" s="9" t="str">
        <f t="shared" si="10"/>
        <v/>
      </c>
      <c r="B366" s="10"/>
      <c r="C366" s="5"/>
      <c r="D366" s="5"/>
      <c r="E366" s="11" t="str">
        <f>IF(D366="","",IFERROR(INDEX('Master Produk'!$B$2:$B$101,MATCH(D366,'Master Produk'!$A$2:$A$101,0)),"SKU tidak ada di master"))</f>
        <v/>
      </c>
      <c r="F366" s="6"/>
      <c r="G366" s="12" t="str">
        <f>IF(D366="","",IFERROR(INDEX('Master Produk'!$C$2:$C$101,MATCH(D366,'Master Produk'!$A$2:$A$101,0)),0)+SUMIFS(F$1:F365,D$1:D365,D366))</f>
        <v/>
      </c>
      <c r="H366" s="12" t="str">
        <f t="shared" si="11"/>
        <v/>
      </c>
      <c r="I366" s="5"/>
      <c r="J366" s="5"/>
      <c r="K366" s="11" t="str">
        <f>IF(D366="","",IF(ISNA(MATCH(D366,'Master Produk'!$A$2:$A$101,0)),"SKU tidak ada di master",IF(AND(C366="Stok masuk",F366&lt;0),"Stok masuk harus +",IF(AND(C366="Stok keluar",F366&gt;0),"Stok keluar harus -",IF(H366&lt;0,"Stok negatif","OK")))))</f>
        <v/>
      </c>
    </row>
    <row r="367" spans="1:11" x14ac:dyDescent="0.3">
      <c r="A367" s="9" t="str">
        <f t="shared" si="10"/>
        <v/>
      </c>
      <c r="B367" s="10"/>
      <c r="C367" s="5"/>
      <c r="D367" s="5"/>
      <c r="E367" s="11" t="str">
        <f>IF(D367="","",IFERROR(INDEX('Master Produk'!$B$2:$B$101,MATCH(D367,'Master Produk'!$A$2:$A$101,0)),"SKU tidak ada di master"))</f>
        <v/>
      </c>
      <c r="F367" s="6"/>
      <c r="G367" s="12" t="str">
        <f>IF(D367="","",IFERROR(INDEX('Master Produk'!$C$2:$C$101,MATCH(D367,'Master Produk'!$A$2:$A$101,0)),0)+SUMIFS(F$1:F366,D$1:D366,D367))</f>
        <v/>
      </c>
      <c r="H367" s="12" t="str">
        <f t="shared" si="11"/>
        <v/>
      </c>
      <c r="I367" s="5"/>
      <c r="J367" s="5"/>
      <c r="K367" s="11" t="str">
        <f>IF(D367="","",IF(ISNA(MATCH(D367,'Master Produk'!$A$2:$A$101,0)),"SKU tidak ada di master",IF(AND(C367="Stok masuk",F367&lt;0),"Stok masuk harus +",IF(AND(C367="Stok keluar",F367&gt;0),"Stok keluar harus -",IF(H367&lt;0,"Stok negatif","OK")))))</f>
        <v/>
      </c>
    </row>
    <row r="368" spans="1:11" x14ac:dyDescent="0.3">
      <c r="A368" s="9" t="str">
        <f t="shared" si="10"/>
        <v/>
      </c>
      <c r="B368" s="10"/>
      <c r="C368" s="5"/>
      <c r="D368" s="5"/>
      <c r="E368" s="11" t="str">
        <f>IF(D368="","",IFERROR(INDEX('Master Produk'!$B$2:$B$101,MATCH(D368,'Master Produk'!$A$2:$A$101,0)),"SKU tidak ada di master"))</f>
        <v/>
      </c>
      <c r="F368" s="6"/>
      <c r="G368" s="12" t="str">
        <f>IF(D368="","",IFERROR(INDEX('Master Produk'!$C$2:$C$101,MATCH(D368,'Master Produk'!$A$2:$A$101,0)),0)+SUMIFS(F$1:F367,D$1:D367,D368))</f>
        <v/>
      </c>
      <c r="H368" s="12" t="str">
        <f t="shared" si="11"/>
        <v/>
      </c>
      <c r="I368" s="5"/>
      <c r="J368" s="5"/>
      <c r="K368" s="11" t="str">
        <f>IF(D368="","",IF(ISNA(MATCH(D368,'Master Produk'!$A$2:$A$101,0)),"SKU tidak ada di master",IF(AND(C368="Stok masuk",F368&lt;0),"Stok masuk harus +",IF(AND(C368="Stok keluar",F368&gt;0),"Stok keluar harus -",IF(H368&lt;0,"Stok negatif","OK")))))</f>
        <v/>
      </c>
    </row>
    <row r="369" spans="1:11" x14ac:dyDescent="0.3">
      <c r="A369" s="9" t="str">
        <f t="shared" si="10"/>
        <v/>
      </c>
      <c r="B369" s="10"/>
      <c r="C369" s="5"/>
      <c r="D369" s="5"/>
      <c r="E369" s="11" t="str">
        <f>IF(D369="","",IFERROR(INDEX('Master Produk'!$B$2:$B$101,MATCH(D369,'Master Produk'!$A$2:$A$101,0)),"SKU tidak ada di master"))</f>
        <v/>
      </c>
      <c r="F369" s="6"/>
      <c r="G369" s="12" t="str">
        <f>IF(D369="","",IFERROR(INDEX('Master Produk'!$C$2:$C$101,MATCH(D369,'Master Produk'!$A$2:$A$101,0)),0)+SUMIFS(F$1:F368,D$1:D368,D369))</f>
        <v/>
      </c>
      <c r="H369" s="12" t="str">
        <f t="shared" si="11"/>
        <v/>
      </c>
      <c r="I369" s="5"/>
      <c r="J369" s="5"/>
      <c r="K369" s="11" t="str">
        <f>IF(D369="","",IF(ISNA(MATCH(D369,'Master Produk'!$A$2:$A$101,0)),"SKU tidak ada di master",IF(AND(C369="Stok masuk",F369&lt;0),"Stok masuk harus +",IF(AND(C369="Stok keluar",F369&gt;0),"Stok keluar harus -",IF(H369&lt;0,"Stok negatif","OK")))))</f>
        <v/>
      </c>
    </row>
    <row r="370" spans="1:11" x14ac:dyDescent="0.3">
      <c r="A370" s="9" t="str">
        <f t="shared" si="10"/>
        <v/>
      </c>
      <c r="B370" s="10"/>
      <c r="C370" s="5"/>
      <c r="D370" s="5"/>
      <c r="E370" s="11" t="str">
        <f>IF(D370="","",IFERROR(INDEX('Master Produk'!$B$2:$B$101,MATCH(D370,'Master Produk'!$A$2:$A$101,0)),"SKU tidak ada di master"))</f>
        <v/>
      </c>
      <c r="F370" s="6"/>
      <c r="G370" s="12" t="str">
        <f>IF(D370="","",IFERROR(INDEX('Master Produk'!$C$2:$C$101,MATCH(D370,'Master Produk'!$A$2:$A$101,0)),0)+SUMIFS(F$1:F369,D$1:D369,D370))</f>
        <v/>
      </c>
      <c r="H370" s="12" t="str">
        <f t="shared" si="11"/>
        <v/>
      </c>
      <c r="I370" s="5"/>
      <c r="J370" s="5"/>
      <c r="K370" s="11" t="str">
        <f>IF(D370="","",IF(ISNA(MATCH(D370,'Master Produk'!$A$2:$A$101,0)),"SKU tidak ada di master",IF(AND(C370="Stok masuk",F370&lt;0),"Stok masuk harus +",IF(AND(C370="Stok keluar",F370&gt;0),"Stok keluar harus -",IF(H370&lt;0,"Stok negatif","OK")))))</f>
        <v/>
      </c>
    </row>
    <row r="371" spans="1:11" x14ac:dyDescent="0.3">
      <c r="A371" s="9" t="str">
        <f t="shared" si="10"/>
        <v/>
      </c>
      <c r="B371" s="10"/>
      <c r="C371" s="5"/>
      <c r="D371" s="5"/>
      <c r="E371" s="11" t="str">
        <f>IF(D371="","",IFERROR(INDEX('Master Produk'!$B$2:$B$101,MATCH(D371,'Master Produk'!$A$2:$A$101,0)),"SKU tidak ada di master"))</f>
        <v/>
      </c>
      <c r="F371" s="6"/>
      <c r="G371" s="12" t="str">
        <f>IF(D371="","",IFERROR(INDEX('Master Produk'!$C$2:$C$101,MATCH(D371,'Master Produk'!$A$2:$A$101,0)),0)+SUMIFS(F$1:F370,D$1:D370,D371))</f>
        <v/>
      </c>
      <c r="H371" s="12" t="str">
        <f t="shared" si="11"/>
        <v/>
      </c>
      <c r="I371" s="5"/>
      <c r="J371" s="5"/>
      <c r="K371" s="11" t="str">
        <f>IF(D371="","",IF(ISNA(MATCH(D371,'Master Produk'!$A$2:$A$101,0)),"SKU tidak ada di master",IF(AND(C371="Stok masuk",F371&lt;0),"Stok masuk harus +",IF(AND(C371="Stok keluar",F371&gt;0),"Stok keluar harus -",IF(H371&lt;0,"Stok negatif","OK")))))</f>
        <v/>
      </c>
    </row>
    <row r="372" spans="1:11" x14ac:dyDescent="0.3">
      <c r="A372" s="9" t="str">
        <f t="shared" si="10"/>
        <v/>
      </c>
      <c r="B372" s="10"/>
      <c r="C372" s="5"/>
      <c r="D372" s="5"/>
      <c r="E372" s="11" t="str">
        <f>IF(D372="","",IFERROR(INDEX('Master Produk'!$B$2:$B$101,MATCH(D372,'Master Produk'!$A$2:$A$101,0)),"SKU tidak ada di master"))</f>
        <v/>
      </c>
      <c r="F372" s="6"/>
      <c r="G372" s="12" t="str">
        <f>IF(D372="","",IFERROR(INDEX('Master Produk'!$C$2:$C$101,MATCH(D372,'Master Produk'!$A$2:$A$101,0)),0)+SUMIFS(F$1:F371,D$1:D371,D372))</f>
        <v/>
      </c>
      <c r="H372" s="12" t="str">
        <f t="shared" si="11"/>
        <v/>
      </c>
      <c r="I372" s="5"/>
      <c r="J372" s="5"/>
      <c r="K372" s="11" t="str">
        <f>IF(D372="","",IF(ISNA(MATCH(D372,'Master Produk'!$A$2:$A$101,0)),"SKU tidak ada di master",IF(AND(C372="Stok masuk",F372&lt;0),"Stok masuk harus +",IF(AND(C372="Stok keluar",F372&gt;0),"Stok keluar harus -",IF(H372&lt;0,"Stok negatif","OK")))))</f>
        <v/>
      </c>
    </row>
    <row r="373" spans="1:11" x14ac:dyDescent="0.3">
      <c r="A373" s="9" t="str">
        <f t="shared" si="10"/>
        <v/>
      </c>
      <c r="B373" s="10"/>
      <c r="C373" s="5"/>
      <c r="D373" s="5"/>
      <c r="E373" s="11" t="str">
        <f>IF(D373="","",IFERROR(INDEX('Master Produk'!$B$2:$B$101,MATCH(D373,'Master Produk'!$A$2:$A$101,0)),"SKU tidak ada di master"))</f>
        <v/>
      </c>
      <c r="F373" s="6"/>
      <c r="G373" s="12" t="str">
        <f>IF(D373="","",IFERROR(INDEX('Master Produk'!$C$2:$C$101,MATCH(D373,'Master Produk'!$A$2:$A$101,0)),0)+SUMIFS(F$1:F372,D$1:D372,D373))</f>
        <v/>
      </c>
      <c r="H373" s="12" t="str">
        <f t="shared" si="11"/>
        <v/>
      </c>
      <c r="I373" s="5"/>
      <c r="J373" s="5"/>
      <c r="K373" s="11" t="str">
        <f>IF(D373="","",IF(ISNA(MATCH(D373,'Master Produk'!$A$2:$A$101,0)),"SKU tidak ada di master",IF(AND(C373="Stok masuk",F373&lt;0),"Stok masuk harus +",IF(AND(C373="Stok keluar",F373&gt;0),"Stok keluar harus -",IF(H373&lt;0,"Stok negatif","OK")))))</f>
        <v/>
      </c>
    </row>
    <row r="374" spans="1:11" x14ac:dyDescent="0.3">
      <c r="A374" s="9" t="str">
        <f t="shared" si="10"/>
        <v/>
      </c>
      <c r="B374" s="10"/>
      <c r="C374" s="5"/>
      <c r="D374" s="5"/>
      <c r="E374" s="11" t="str">
        <f>IF(D374="","",IFERROR(INDEX('Master Produk'!$B$2:$B$101,MATCH(D374,'Master Produk'!$A$2:$A$101,0)),"SKU tidak ada di master"))</f>
        <v/>
      </c>
      <c r="F374" s="6"/>
      <c r="G374" s="12" t="str">
        <f>IF(D374="","",IFERROR(INDEX('Master Produk'!$C$2:$C$101,MATCH(D374,'Master Produk'!$A$2:$A$101,0)),0)+SUMIFS(F$1:F373,D$1:D373,D374))</f>
        <v/>
      </c>
      <c r="H374" s="12" t="str">
        <f t="shared" si="11"/>
        <v/>
      </c>
      <c r="I374" s="5"/>
      <c r="J374" s="5"/>
      <c r="K374" s="11" t="str">
        <f>IF(D374="","",IF(ISNA(MATCH(D374,'Master Produk'!$A$2:$A$101,0)),"SKU tidak ada di master",IF(AND(C374="Stok masuk",F374&lt;0),"Stok masuk harus +",IF(AND(C374="Stok keluar",F374&gt;0),"Stok keluar harus -",IF(H374&lt;0,"Stok negatif","OK")))))</f>
        <v/>
      </c>
    </row>
    <row r="375" spans="1:11" x14ac:dyDescent="0.3">
      <c r="A375" s="9" t="str">
        <f t="shared" si="10"/>
        <v/>
      </c>
      <c r="B375" s="10"/>
      <c r="C375" s="5"/>
      <c r="D375" s="5"/>
      <c r="E375" s="11" t="str">
        <f>IF(D375="","",IFERROR(INDEX('Master Produk'!$B$2:$B$101,MATCH(D375,'Master Produk'!$A$2:$A$101,0)),"SKU tidak ada di master"))</f>
        <v/>
      </c>
      <c r="F375" s="6"/>
      <c r="G375" s="12" t="str">
        <f>IF(D375="","",IFERROR(INDEX('Master Produk'!$C$2:$C$101,MATCH(D375,'Master Produk'!$A$2:$A$101,0)),0)+SUMIFS(F$1:F374,D$1:D374,D375))</f>
        <v/>
      </c>
      <c r="H375" s="12" t="str">
        <f t="shared" si="11"/>
        <v/>
      </c>
      <c r="I375" s="5"/>
      <c r="J375" s="5"/>
      <c r="K375" s="11" t="str">
        <f>IF(D375="","",IF(ISNA(MATCH(D375,'Master Produk'!$A$2:$A$101,0)),"SKU tidak ada di master",IF(AND(C375="Stok masuk",F375&lt;0),"Stok masuk harus +",IF(AND(C375="Stok keluar",F375&gt;0),"Stok keluar harus -",IF(H375&lt;0,"Stok negatif","OK")))))</f>
        <v/>
      </c>
    </row>
    <row r="376" spans="1:11" x14ac:dyDescent="0.3">
      <c r="A376" s="9" t="str">
        <f t="shared" si="10"/>
        <v/>
      </c>
      <c r="B376" s="10"/>
      <c r="C376" s="5"/>
      <c r="D376" s="5"/>
      <c r="E376" s="11" t="str">
        <f>IF(D376="","",IFERROR(INDEX('Master Produk'!$B$2:$B$101,MATCH(D376,'Master Produk'!$A$2:$A$101,0)),"SKU tidak ada di master"))</f>
        <v/>
      </c>
      <c r="F376" s="6"/>
      <c r="G376" s="12" t="str">
        <f>IF(D376="","",IFERROR(INDEX('Master Produk'!$C$2:$C$101,MATCH(D376,'Master Produk'!$A$2:$A$101,0)),0)+SUMIFS(F$1:F375,D$1:D375,D376))</f>
        <v/>
      </c>
      <c r="H376" s="12" t="str">
        <f t="shared" si="11"/>
        <v/>
      </c>
      <c r="I376" s="5"/>
      <c r="J376" s="5"/>
      <c r="K376" s="11" t="str">
        <f>IF(D376="","",IF(ISNA(MATCH(D376,'Master Produk'!$A$2:$A$101,0)),"SKU tidak ada di master",IF(AND(C376="Stok masuk",F376&lt;0),"Stok masuk harus +",IF(AND(C376="Stok keluar",F376&gt;0),"Stok keluar harus -",IF(H376&lt;0,"Stok negatif","OK")))))</f>
        <v/>
      </c>
    </row>
    <row r="377" spans="1:11" x14ac:dyDescent="0.3">
      <c r="A377" s="9" t="str">
        <f t="shared" si="10"/>
        <v/>
      </c>
      <c r="B377" s="10"/>
      <c r="C377" s="5"/>
      <c r="D377" s="5"/>
      <c r="E377" s="11" t="str">
        <f>IF(D377="","",IFERROR(INDEX('Master Produk'!$B$2:$B$101,MATCH(D377,'Master Produk'!$A$2:$A$101,0)),"SKU tidak ada di master"))</f>
        <v/>
      </c>
      <c r="F377" s="6"/>
      <c r="G377" s="12" t="str">
        <f>IF(D377="","",IFERROR(INDEX('Master Produk'!$C$2:$C$101,MATCH(D377,'Master Produk'!$A$2:$A$101,0)),0)+SUMIFS(F$1:F376,D$1:D376,D377))</f>
        <v/>
      </c>
      <c r="H377" s="12" t="str">
        <f t="shared" si="11"/>
        <v/>
      </c>
      <c r="I377" s="5"/>
      <c r="J377" s="5"/>
      <c r="K377" s="11" t="str">
        <f>IF(D377="","",IF(ISNA(MATCH(D377,'Master Produk'!$A$2:$A$101,0)),"SKU tidak ada di master",IF(AND(C377="Stok masuk",F377&lt;0),"Stok masuk harus +",IF(AND(C377="Stok keluar",F377&gt;0),"Stok keluar harus -",IF(H377&lt;0,"Stok negatif","OK")))))</f>
        <v/>
      </c>
    </row>
    <row r="378" spans="1:11" x14ac:dyDescent="0.3">
      <c r="A378" s="9" t="str">
        <f t="shared" si="10"/>
        <v/>
      </c>
      <c r="B378" s="10"/>
      <c r="C378" s="5"/>
      <c r="D378" s="5"/>
      <c r="E378" s="11" t="str">
        <f>IF(D378="","",IFERROR(INDEX('Master Produk'!$B$2:$B$101,MATCH(D378,'Master Produk'!$A$2:$A$101,0)),"SKU tidak ada di master"))</f>
        <v/>
      </c>
      <c r="F378" s="6"/>
      <c r="G378" s="12" t="str">
        <f>IF(D378="","",IFERROR(INDEX('Master Produk'!$C$2:$C$101,MATCH(D378,'Master Produk'!$A$2:$A$101,0)),0)+SUMIFS(F$1:F377,D$1:D377,D378))</f>
        <v/>
      </c>
      <c r="H378" s="12" t="str">
        <f t="shared" si="11"/>
        <v/>
      </c>
      <c r="I378" s="5"/>
      <c r="J378" s="5"/>
      <c r="K378" s="11" t="str">
        <f>IF(D378="","",IF(ISNA(MATCH(D378,'Master Produk'!$A$2:$A$101,0)),"SKU tidak ada di master",IF(AND(C378="Stok masuk",F378&lt;0),"Stok masuk harus +",IF(AND(C378="Stok keluar",F378&gt;0),"Stok keluar harus -",IF(H378&lt;0,"Stok negatif","OK")))))</f>
        <v/>
      </c>
    </row>
    <row r="379" spans="1:11" x14ac:dyDescent="0.3">
      <c r="A379" s="9" t="str">
        <f t="shared" si="10"/>
        <v/>
      </c>
      <c r="B379" s="10"/>
      <c r="C379" s="5"/>
      <c r="D379" s="5"/>
      <c r="E379" s="11" t="str">
        <f>IF(D379="","",IFERROR(INDEX('Master Produk'!$B$2:$B$101,MATCH(D379,'Master Produk'!$A$2:$A$101,0)),"SKU tidak ada di master"))</f>
        <v/>
      </c>
      <c r="F379" s="6"/>
      <c r="G379" s="12" t="str">
        <f>IF(D379="","",IFERROR(INDEX('Master Produk'!$C$2:$C$101,MATCH(D379,'Master Produk'!$A$2:$A$101,0)),0)+SUMIFS(F$1:F378,D$1:D378,D379))</f>
        <v/>
      </c>
      <c r="H379" s="12" t="str">
        <f t="shared" si="11"/>
        <v/>
      </c>
      <c r="I379" s="5"/>
      <c r="J379" s="5"/>
      <c r="K379" s="11" t="str">
        <f>IF(D379="","",IF(ISNA(MATCH(D379,'Master Produk'!$A$2:$A$101,0)),"SKU tidak ada di master",IF(AND(C379="Stok masuk",F379&lt;0),"Stok masuk harus +",IF(AND(C379="Stok keluar",F379&gt;0),"Stok keluar harus -",IF(H379&lt;0,"Stok negatif","OK")))))</f>
        <v/>
      </c>
    </row>
    <row r="380" spans="1:11" x14ac:dyDescent="0.3">
      <c r="A380" s="9" t="str">
        <f t="shared" si="10"/>
        <v/>
      </c>
      <c r="B380" s="10"/>
      <c r="C380" s="5"/>
      <c r="D380" s="5"/>
      <c r="E380" s="11" t="str">
        <f>IF(D380="","",IFERROR(INDEX('Master Produk'!$B$2:$B$101,MATCH(D380,'Master Produk'!$A$2:$A$101,0)),"SKU tidak ada di master"))</f>
        <v/>
      </c>
      <c r="F380" s="6"/>
      <c r="G380" s="12" t="str">
        <f>IF(D380="","",IFERROR(INDEX('Master Produk'!$C$2:$C$101,MATCH(D380,'Master Produk'!$A$2:$A$101,0)),0)+SUMIFS(F$1:F379,D$1:D379,D380))</f>
        <v/>
      </c>
      <c r="H380" s="12" t="str">
        <f t="shared" si="11"/>
        <v/>
      </c>
      <c r="I380" s="5"/>
      <c r="J380" s="5"/>
      <c r="K380" s="11" t="str">
        <f>IF(D380="","",IF(ISNA(MATCH(D380,'Master Produk'!$A$2:$A$101,0)),"SKU tidak ada di master",IF(AND(C380="Stok masuk",F380&lt;0),"Stok masuk harus +",IF(AND(C380="Stok keluar",F380&gt;0),"Stok keluar harus -",IF(H380&lt;0,"Stok negatif","OK")))))</f>
        <v/>
      </c>
    </row>
    <row r="381" spans="1:11" x14ac:dyDescent="0.3">
      <c r="A381" s="9" t="str">
        <f t="shared" si="10"/>
        <v/>
      </c>
      <c r="B381" s="10"/>
      <c r="C381" s="5"/>
      <c r="D381" s="5"/>
      <c r="E381" s="11" t="str">
        <f>IF(D381="","",IFERROR(INDEX('Master Produk'!$B$2:$B$101,MATCH(D381,'Master Produk'!$A$2:$A$101,0)),"SKU tidak ada di master"))</f>
        <v/>
      </c>
      <c r="F381" s="6"/>
      <c r="G381" s="12" t="str">
        <f>IF(D381="","",IFERROR(INDEX('Master Produk'!$C$2:$C$101,MATCH(D381,'Master Produk'!$A$2:$A$101,0)),0)+SUMIFS(F$1:F380,D$1:D380,D381))</f>
        <v/>
      </c>
      <c r="H381" s="12" t="str">
        <f t="shared" si="11"/>
        <v/>
      </c>
      <c r="I381" s="5"/>
      <c r="J381" s="5"/>
      <c r="K381" s="11" t="str">
        <f>IF(D381="","",IF(ISNA(MATCH(D381,'Master Produk'!$A$2:$A$101,0)),"SKU tidak ada di master",IF(AND(C381="Stok masuk",F381&lt;0),"Stok masuk harus +",IF(AND(C381="Stok keluar",F381&gt;0),"Stok keluar harus -",IF(H381&lt;0,"Stok negatif","OK")))))</f>
        <v/>
      </c>
    </row>
    <row r="382" spans="1:11" x14ac:dyDescent="0.3">
      <c r="A382" s="9" t="str">
        <f t="shared" si="10"/>
        <v/>
      </c>
      <c r="B382" s="10"/>
      <c r="C382" s="5"/>
      <c r="D382" s="5"/>
      <c r="E382" s="11" t="str">
        <f>IF(D382="","",IFERROR(INDEX('Master Produk'!$B$2:$B$101,MATCH(D382,'Master Produk'!$A$2:$A$101,0)),"SKU tidak ada di master"))</f>
        <v/>
      </c>
      <c r="F382" s="6"/>
      <c r="G382" s="12" t="str">
        <f>IF(D382="","",IFERROR(INDEX('Master Produk'!$C$2:$C$101,MATCH(D382,'Master Produk'!$A$2:$A$101,0)),0)+SUMIFS(F$1:F381,D$1:D381,D382))</f>
        <v/>
      </c>
      <c r="H382" s="12" t="str">
        <f t="shared" si="11"/>
        <v/>
      </c>
      <c r="I382" s="5"/>
      <c r="J382" s="5"/>
      <c r="K382" s="11" t="str">
        <f>IF(D382="","",IF(ISNA(MATCH(D382,'Master Produk'!$A$2:$A$101,0)),"SKU tidak ada di master",IF(AND(C382="Stok masuk",F382&lt;0),"Stok masuk harus +",IF(AND(C382="Stok keluar",F382&gt;0),"Stok keluar harus -",IF(H382&lt;0,"Stok negatif","OK")))))</f>
        <v/>
      </c>
    </row>
    <row r="383" spans="1:11" x14ac:dyDescent="0.3">
      <c r="A383" s="9" t="str">
        <f t="shared" si="10"/>
        <v/>
      </c>
      <c r="B383" s="10"/>
      <c r="C383" s="5"/>
      <c r="D383" s="5"/>
      <c r="E383" s="11" t="str">
        <f>IF(D383="","",IFERROR(INDEX('Master Produk'!$B$2:$B$101,MATCH(D383,'Master Produk'!$A$2:$A$101,0)),"SKU tidak ada di master"))</f>
        <v/>
      </c>
      <c r="F383" s="6"/>
      <c r="G383" s="12" t="str">
        <f>IF(D383="","",IFERROR(INDEX('Master Produk'!$C$2:$C$101,MATCH(D383,'Master Produk'!$A$2:$A$101,0)),0)+SUMIFS(F$1:F382,D$1:D382,D383))</f>
        <v/>
      </c>
      <c r="H383" s="12" t="str">
        <f t="shared" si="11"/>
        <v/>
      </c>
      <c r="I383" s="5"/>
      <c r="J383" s="5"/>
      <c r="K383" s="11" t="str">
        <f>IF(D383="","",IF(ISNA(MATCH(D383,'Master Produk'!$A$2:$A$101,0)),"SKU tidak ada di master",IF(AND(C383="Stok masuk",F383&lt;0),"Stok masuk harus +",IF(AND(C383="Stok keluar",F383&gt;0),"Stok keluar harus -",IF(H383&lt;0,"Stok negatif","OK")))))</f>
        <v/>
      </c>
    </row>
    <row r="384" spans="1:11" x14ac:dyDescent="0.3">
      <c r="A384" s="9" t="str">
        <f t="shared" si="10"/>
        <v/>
      </c>
      <c r="B384" s="10"/>
      <c r="C384" s="5"/>
      <c r="D384" s="5"/>
      <c r="E384" s="11" t="str">
        <f>IF(D384="","",IFERROR(INDEX('Master Produk'!$B$2:$B$101,MATCH(D384,'Master Produk'!$A$2:$A$101,0)),"SKU tidak ada di master"))</f>
        <v/>
      </c>
      <c r="F384" s="6"/>
      <c r="G384" s="12" t="str">
        <f>IF(D384="","",IFERROR(INDEX('Master Produk'!$C$2:$C$101,MATCH(D384,'Master Produk'!$A$2:$A$101,0)),0)+SUMIFS(F$1:F383,D$1:D383,D384))</f>
        <v/>
      </c>
      <c r="H384" s="12" t="str">
        <f t="shared" si="11"/>
        <v/>
      </c>
      <c r="I384" s="5"/>
      <c r="J384" s="5"/>
      <c r="K384" s="11" t="str">
        <f>IF(D384="","",IF(ISNA(MATCH(D384,'Master Produk'!$A$2:$A$101,0)),"SKU tidak ada di master",IF(AND(C384="Stok masuk",F384&lt;0),"Stok masuk harus +",IF(AND(C384="Stok keluar",F384&gt;0),"Stok keluar harus -",IF(H384&lt;0,"Stok negatif","OK")))))</f>
        <v/>
      </c>
    </row>
    <row r="385" spans="1:11" x14ac:dyDescent="0.3">
      <c r="A385" s="9" t="str">
        <f t="shared" si="10"/>
        <v/>
      </c>
      <c r="B385" s="10"/>
      <c r="C385" s="5"/>
      <c r="D385" s="5"/>
      <c r="E385" s="11" t="str">
        <f>IF(D385="","",IFERROR(INDEX('Master Produk'!$B$2:$B$101,MATCH(D385,'Master Produk'!$A$2:$A$101,0)),"SKU tidak ada di master"))</f>
        <v/>
      </c>
      <c r="F385" s="6"/>
      <c r="G385" s="12" t="str">
        <f>IF(D385="","",IFERROR(INDEX('Master Produk'!$C$2:$C$101,MATCH(D385,'Master Produk'!$A$2:$A$101,0)),0)+SUMIFS(F$1:F384,D$1:D384,D385))</f>
        <v/>
      </c>
      <c r="H385" s="12" t="str">
        <f t="shared" si="11"/>
        <v/>
      </c>
      <c r="I385" s="5"/>
      <c r="J385" s="5"/>
      <c r="K385" s="11" t="str">
        <f>IF(D385="","",IF(ISNA(MATCH(D385,'Master Produk'!$A$2:$A$101,0)),"SKU tidak ada di master",IF(AND(C385="Stok masuk",F385&lt;0),"Stok masuk harus +",IF(AND(C385="Stok keluar",F385&gt;0),"Stok keluar harus -",IF(H385&lt;0,"Stok negatif","OK")))))</f>
        <v/>
      </c>
    </row>
    <row r="386" spans="1:11" x14ac:dyDescent="0.3">
      <c r="A386" s="9" t="str">
        <f t="shared" ref="A386:A449" si="12">IF(D386="","",ROW()-1)</f>
        <v/>
      </c>
      <c r="B386" s="10"/>
      <c r="C386" s="5"/>
      <c r="D386" s="5"/>
      <c r="E386" s="11" t="str">
        <f>IF(D386="","",IFERROR(INDEX('Master Produk'!$B$2:$B$101,MATCH(D386,'Master Produk'!$A$2:$A$101,0)),"SKU tidak ada di master"))</f>
        <v/>
      </c>
      <c r="F386" s="6"/>
      <c r="G386" s="12" t="str">
        <f>IF(D386="","",IFERROR(INDEX('Master Produk'!$C$2:$C$101,MATCH(D386,'Master Produk'!$A$2:$A$101,0)),0)+SUMIFS(F$1:F385,D$1:D385,D386))</f>
        <v/>
      </c>
      <c r="H386" s="12" t="str">
        <f t="shared" ref="H386:H449" si="13">IF(D386="","",G386+F386)</f>
        <v/>
      </c>
      <c r="I386" s="5"/>
      <c r="J386" s="5"/>
      <c r="K386" s="11" t="str">
        <f>IF(D386="","",IF(ISNA(MATCH(D386,'Master Produk'!$A$2:$A$101,0)),"SKU tidak ada di master",IF(AND(C386="Stok masuk",F386&lt;0),"Stok masuk harus +",IF(AND(C386="Stok keluar",F386&gt;0),"Stok keluar harus -",IF(H386&lt;0,"Stok negatif","OK")))))</f>
        <v/>
      </c>
    </row>
    <row r="387" spans="1:11" x14ac:dyDescent="0.3">
      <c r="A387" s="9" t="str">
        <f t="shared" si="12"/>
        <v/>
      </c>
      <c r="B387" s="10"/>
      <c r="C387" s="5"/>
      <c r="D387" s="5"/>
      <c r="E387" s="11" t="str">
        <f>IF(D387="","",IFERROR(INDEX('Master Produk'!$B$2:$B$101,MATCH(D387,'Master Produk'!$A$2:$A$101,0)),"SKU tidak ada di master"))</f>
        <v/>
      </c>
      <c r="F387" s="6"/>
      <c r="G387" s="12" t="str">
        <f>IF(D387="","",IFERROR(INDEX('Master Produk'!$C$2:$C$101,MATCH(D387,'Master Produk'!$A$2:$A$101,0)),0)+SUMIFS(F$1:F386,D$1:D386,D387))</f>
        <v/>
      </c>
      <c r="H387" s="12" t="str">
        <f t="shared" si="13"/>
        <v/>
      </c>
      <c r="I387" s="5"/>
      <c r="J387" s="5"/>
      <c r="K387" s="11" t="str">
        <f>IF(D387="","",IF(ISNA(MATCH(D387,'Master Produk'!$A$2:$A$101,0)),"SKU tidak ada di master",IF(AND(C387="Stok masuk",F387&lt;0),"Stok masuk harus +",IF(AND(C387="Stok keluar",F387&gt;0),"Stok keluar harus -",IF(H387&lt;0,"Stok negatif","OK")))))</f>
        <v/>
      </c>
    </row>
    <row r="388" spans="1:11" x14ac:dyDescent="0.3">
      <c r="A388" s="9" t="str">
        <f t="shared" si="12"/>
        <v/>
      </c>
      <c r="B388" s="10"/>
      <c r="C388" s="5"/>
      <c r="D388" s="5"/>
      <c r="E388" s="11" t="str">
        <f>IF(D388="","",IFERROR(INDEX('Master Produk'!$B$2:$B$101,MATCH(D388,'Master Produk'!$A$2:$A$101,0)),"SKU tidak ada di master"))</f>
        <v/>
      </c>
      <c r="F388" s="6"/>
      <c r="G388" s="12" t="str">
        <f>IF(D388="","",IFERROR(INDEX('Master Produk'!$C$2:$C$101,MATCH(D388,'Master Produk'!$A$2:$A$101,0)),0)+SUMIFS(F$1:F387,D$1:D387,D388))</f>
        <v/>
      </c>
      <c r="H388" s="12" t="str">
        <f t="shared" si="13"/>
        <v/>
      </c>
      <c r="I388" s="5"/>
      <c r="J388" s="5"/>
      <c r="K388" s="11" t="str">
        <f>IF(D388="","",IF(ISNA(MATCH(D388,'Master Produk'!$A$2:$A$101,0)),"SKU tidak ada di master",IF(AND(C388="Stok masuk",F388&lt;0),"Stok masuk harus +",IF(AND(C388="Stok keluar",F388&gt;0),"Stok keluar harus -",IF(H388&lt;0,"Stok negatif","OK")))))</f>
        <v/>
      </c>
    </row>
    <row r="389" spans="1:11" x14ac:dyDescent="0.3">
      <c r="A389" s="9" t="str">
        <f t="shared" si="12"/>
        <v/>
      </c>
      <c r="B389" s="10"/>
      <c r="C389" s="5"/>
      <c r="D389" s="5"/>
      <c r="E389" s="11" t="str">
        <f>IF(D389="","",IFERROR(INDEX('Master Produk'!$B$2:$B$101,MATCH(D389,'Master Produk'!$A$2:$A$101,0)),"SKU tidak ada di master"))</f>
        <v/>
      </c>
      <c r="F389" s="6"/>
      <c r="G389" s="12" t="str">
        <f>IF(D389="","",IFERROR(INDEX('Master Produk'!$C$2:$C$101,MATCH(D389,'Master Produk'!$A$2:$A$101,0)),0)+SUMIFS(F$1:F388,D$1:D388,D389))</f>
        <v/>
      </c>
      <c r="H389" s="12" t="str">
        <f t="shared" si="13"/>
        <v/>
      </c>
      <c r="I389" s="5"/>
      <c r="J389" s="5"/>
      <c r="K389" s="11" t="str">
        <f>IF(D389="","",IF(ISNA(MATCH(D389,'Master Produk'!$A$2:$A$101,0)),"SKU tidak ada di master",IF(AND(C389="Stok masuk",F389&lt;0),"Stok masuk harus +",IF(AND(C389="Stok keluar",F389&gt;0),"Stok keluar harus -",IF(H389&lt;0,"Stok negatif","OK")))))</f>
        <v/>
      </c>
    </row>
    <row r="390" spans="1:11" x14ac:dyDescent="0.3">
      <c r="A390" s="9" t="str">
        <f t="shared" si="12"/>
        <v/>
      </c>
      <c r="B390" s="10"/>
      <c r="C390" s="5"/>
      <c r="D390" s="5"/>
      <c r="E390" s="11" t="str">
        <f>IF(D390="","",IFERROR(INDEX('Master Produk'!$B$2:$B$101,MATCH(D390,'Master Produk'!$A$2:$A$101,0)),"SKU tidak ada di master"))</f>
        <v/>
      </c>
      <c r="F390" s="6"/>
      <c r="G390" s="12" t="str">
        <f>IF(D390="","",IFERROR(INDEX('Master Produk'!$C$2:$C$101,MATCH(D390,'Master Produk'!$A$2:$A$101,0)),0)+SUMIFS(F$1:F389,D$1:D389,D390))</f>
        <v/>
      </c>
      <c r="H390" s="12" t="str">
        <f t="shared" si="13"/>
        <v/>
      </c>
      <c r="I390" s="5"/>
      <c r="J390" s="5"/>
      <c r="K390" s="11" t="str">
        <f>IF(D390="","",IF(ISNA(MATCH(D390,'Master Produk'!$A$2:$A$101,0)),"SKU tidak ada di master",IF(AND(C390="Stok masuk",F390&lt;0),"Stok masuk harus +",IF(AND(C390="Stok keluar",F390&gt;0),"Stok keluar harus -",IF(H390&lt;0,"Stok negatif","OK")))))</f>
        <v/>
      </c>
    </row>
    <row r="391" spans="1:11" x14ac:dyDescent="0.3">
      <c r="A391" s="9" t="str">
        <f t="shared" si="12"/>
        <v/>
      </c>
      <c r="B391" s="10"/>
      <c r="C391" s="5"/>
      <c r="D391" s="5"/>
      <c r="E391" s="11" t="str">
        <f>IF(D391="","",IFERROR(INDEX('Master Produk'!$B$2:$B$101,MATCH(D391,'Master Produk'!$A$2:$A$101,0)),"SKU tidak ada di master"))</f>
        <v/>
      </c>
      <c r="F391" s="6"/>
      <c r="G391" s="12" t="str">
        <f>IF(D391="","",IFERROR(INDEX('Master Produk'!$C$2:$C$101,MATCH(D391,'Master Produk'!$A$2:$A$101,0)),0)+SUMIFS(F$1:F390,D$1:D390,D391))</f>
        <v/>
      </c>
      <c r="H391" s="12" t="str">
        <f t="shared" si="13"/>
        <v/>
      </c>
      <c r="I391" s="5"/>
      <c r="J391" s="5"/>
      <c r="K391" s="11" t="str">
        <f>IF(D391="","",IF(ISNA(MATCH(D391,'Master Produk'!$A$2:$A$101,0)),"SKU tidak ada di master",IF(AND(C391="Stok masuk",F391&lt;0),"Stok masuk harus +",IF(AND(C391="Stok keluar",F391&gt;0),"Stok keluar harus -",IF(H391&lt;0,"Stok negatif","OK")))))</f>
        <v/>
      </c>
    </row>
    <row r="392" spans="1:11" x14ac:dyDescent="0.3">
      <c r="A392" s="9" t="str">
        <f t="shared" si="12"/>
        <v/>
      </c>
      <c r="B392" s="10"/>
      <c r="C392" s="5"/>
      <c r="D392" s="5"/>
      <c r="E392" s="11" t="str">
        <f>IF(D392="","",IFERROR(INDEX('Master Produk'!$B$2:$B$101,MATCH(D392,'Master Produk'!$A$2:$A$101,0)),"SKU tidak ada di master"))</f>
        <v/>
      </c>
      <c r="F392" s="6"/>
      <c r="G392" s="12" t="str">
        <f>IF(D392="","",IFERROR(INDEX('Master Produk'!$C$2:$C$101,MATCH(D392,'Master Produk'!$A$2:$A$101,0)),0)+SUMIFS(F$1:F391,D$1:D391,D392))</f>
        <v/>
      </c>
      <c r="H392" s="12" t="str">
        <f t="shared" si="13"/>
        <v/>
      </c>
      <c r="I392" s="5"/>
      <c r="J392" s="5"/>
      <c r="K392" s="11" t="str">
        <f>IF(D392="","",IF(ISNA(MATCH(D392,'Master Produk'!$A$2:$A$101,0)),"SKU tidak ada di master",IF(AND(C392="Stok masuk",F392&lt;0),"Stok masuk harus +",IF(AND(C392="Stok keluar",F392&gt;0),"Stok keluar harus -",IF(H392&lt;0,"Stok negatif","OK")))))</f>
        <v/>
      </c>
    </row>
    <row r="393" spans="1:11" x14ac:dyDescent="0.3">
      <c r="A393" s="9" t="str">
        <f t="shared" si="12"/>
        <v/>
      </c>
      <c r="B393" s="10"/>
      <c r="C393" s="5"/>
      <c r="D393" s="5"/>
      <c r="E393" s="11" t="str">
        <f>IF(D393="","",IFERROR(INDEX('Master Produk'!$B$2:$B$101,MATCH(D393,'Master Produk'!$A$2:$A$101,0)),"SKU tidak ada di master"))</f>
        <v/>
      </c>
      <c r="F393" s="6"/>
      <c r="G393" s="12" t="str">
        <f>IF(D393="","",IFERROR(INDEX('Master Produk'!$C$2:$C$101,MATCH(D393,'Master Produk'!$A$2:$A$101,0)),0)+SUMIFS(F$1:F392,D$1:D392,D393))</f>
        <v/>
      </c>
      <c r="H393" s="12" t="str">
        <f t="shared" si="13"/>
        <v/>
      </c>
      <c r="I393" s="5"/>
      <c r="J393" s="5"/>
      <c r="K393" s="11" t="str">
        <f>IF(D393="","",IF(ISNA(MATCH(D393,'Master Produk'!$A$2:$A$101,0)),"SKU tidak ada di master",IF(AND(C393="Stok masuk",F393&lt;0),"Stok masuk harus +",IF(AND(C393="Stok keluar",F393&gt;0),"Stok keluar harus -",IF(H393&lt;0,"Stok negatif","OK")))))</f>
        <v/>
      </c>
    </row>
    <row r="394" spans="1:11" x14ac:dyDescent="0.3">
      <c r="A394" s="9" t="str">
        <f t="shared" si="12"/>
        <v/>
      </c>
      <c r="B394" s="10"/>
      <c r="C394" s="5"/>
      <c r="D394" s="5"/>
      <c r="E394" s="11" t="str">
        <f>IF(D394="","",IFERROR(INDEX('Master Produk'!$B$2:$B$101,MATCH(D394,'Master Produk'!$A$2:$A$101,0)),"SKU tidak ada di master"))</f>
        <v/>
      </c>
      <c r="F394" s="6"/>
      <c r="G394" s="12" t="str">
        <f>IF(D394="","",IFERROR(INDEX('Master Produk'!$C$2:$C$101,MATCH(D394,'Master Produk'!$A$2:$A$101,0)),0)+SUMIFS(F$1:F393,D$1:D393,D394))</f>
        <v/>
      </c>
      <c r="H394" s="12" t="str">
        <f t="shared" si="13"/>
        <v/>
      </c>
      <c r="I394" s="5"/>
      <c r="J394" s="5"/>
      <c r="K394" s="11" t="str">
        <f>IF(D394="","",IF(ISNA(MATCH(D394,'Master Produk'!$A$2:$A$101,0)),"SKU tidak ada di master",IF(AND(C394="Stok masuk",F394&lt;0),"Stok masuk harus +",IF(AND(C394="Stok keluar",F394&gt;0),"Stok keluar harus -",IF(H394&lt;0,"Stok negatif","OK")))))</f>
        <v/>
      </c>
    </row>
    <row r="395" spans="1:11" x14ac:dyDescent="0.3">
      <c r="A395" s="9" t="str">
        <f t="shared" si="12"/>
        <v/>
      </c>
      <c r="B395" s="10"/>
      <c r="C395" s="5"/>
      <c r="D395" s="5"/>
      <c r="E395" s="11" t="str">
        <f>IF(D395="","",IFERROR(INDEX('Master Produk'!$B$2:$B$101,MATCH(D395,'Master Produk'!$A$2:$A$101,0)),"SKU tidak ada di master"))</f>
        <v/>
      </c>
      <c r="F395" s="6"/>
      <c r="G395" s="12" t="str">
        <f>IF(D395="","",IFERROR(INDEX('Master Produk'!$C$2:$C$101,MATCH(D395,'Master Produk'!$A$2:$A$101,0)),0)+SUMIFS(F$1:F394,D$1:D394,D395))</f>
        <v/>
      </c>
      <c r="H395" s="12" t="str">
        <f t="shared" si="13"/>
        <v/>
      </c>
      <c r="I395" s="5"/>
      <c r="J395" s="5"/>
      <c r="K395" s="11" t="str">
        <f>IF(D395="","",IF(ISNA(MATCH(D395,'Master Produk'!$A$2:$A$101,0)),"SKU tidak ada di master",IF(AND(C395="Stok masuk",F395&lt;0),"Stok masuk harus +",IF(AND(C395="Stok keluar",F395&gt;0),"Stok keluar harus -",IF(H395&lt;0,"Stok negatif","OK")))))</f>
        <v/>
      </c>
    </row>
    <row r="396" spans="1:11" x14ac:dyDescent="0.3">
      <c r="A396" s="9" t="str">
        <f t="shared" si="12"/>
        <v/>
      </c>
      <c r="B396" s="10"/>
      <c r="C396" s="5"/>
      <c r="D396" s="5"/>
      <c r="E396" s="11" t="str">
        <f>IF(D396="","",IFERROR(INDEX('Master Produk'!$B$2:$B$101,MATCH(D396,'Master Produk'!$A$2:$A$101,0)),"SKU tidak ada di master"))</f>
        <v/>
      </c>
      <c r="F396" s="6"/>
      <c r="G396" s="12" t="str">
        <f>IF(D396="","",IFERROR(INDEX('Master Produk'!$C$2:$C$101,MATCH(D396,'Master Produk'!$A$2:$A$101,0)),0)+SUMIFS(F$1:F395,D$1:D395,D396))</f>
        <v/>
      </c>
      <c r="H396" s="12" t="str">
        <f t="shared" si="13"/>
        <v/>
      </c>
      <c r="I396" s="5"/>
      <c r="J396" s="5"/>
      <c r="K396" s="11" t="str">
        <f>IF(D396="","",IF(ISNA(MATCH(D396,'Master Produk'!$A$2:$A$101,0)),"SKU tidak ada di master",IF(AND(C396="Stok masuk",F396&lt;0),"Stok masuk harus +",IF(AND(C396="Stok keluar",F396&gt;0),"Stok keluar harus -",IF(H396&lt;0,"Stok negatif","OK")))))</f>
        <v/>
      </c>
    </row>
    <row r="397" spans="1:11" x14ac:dyDescent="0.3">
      <c r="A397" s="9" t="str">
        <f t="shared" si="12"/>
        <v/>
      </c>
      <c r="B397" s="10"/>
      <c r="C397" s="5"/>
      <c r="D397" s="5"/>
      <c r="E397" s="11" t="str">
        <f>IF(D397="","",IFERROR(INDEX('Master Produk'!$B$2:$B$101,MATCH(D397,'Master Produk'!$A$2:$A$101,0)),"SKU tidak ada di master"))</f>
        <v/>
      </c>
      <c r="F397" s="6"/>
      <c r="G397" s="12" t="str">
        <f>IF(D397="","",IFERROR(INDEX('Master Produk'!$C$2:$C$101,MATCH(D397,'Master Produk'!$A$2:$A$101,0)),0)+SUMIFS(F$1:F396,D$1:D396,D397))</f>
        <v/>
      </c>
      <c r="H397" s="12" t="str">
        <f t="shared" si="13"/>
        <v/>
      </c>
      <c r="I397" s="5"/>
      <c r="J397" s="5"/>
      <c r="K397" s="11" t="str">
        <f>IF(D397="","",IF(ISNA(MATCH(D397,'Master Produk'!$A$2:$A$101,0)),"SKU tidak ada di master",IF(AND(C397="Stok masuk",F397&lt;0),"Stok masuk harus +",IF(AND(C397="Stok keluar",F397&gt;0),"Stok keluar harus -",IF(H397&lt;0,"Stok negatif","OK")))))</f>
        <v/>
      </c>
    </row>
    <row r="398" spans="1:11" x14ac:dyDescent="0.3">
      <c r="A398" s="9" t="str">
        <f t="shared" si="12"/>
        <v/>
      </c>
      <c r="B398" s="10"/>
      <c r="C398" s="5"/>
      <c r="D398" s="5"/>
      <c r="E398" s="11" t="str">
        <f>IF(D398="","",IFERROR(INDEX('Master Produk'!$B$2:$B$101,MATCH(D398,'Master Produk'!$A$2:$A$101,0)),"SKU tidak ada di master"))</f>
        <v/>
      </c>
      <c r="F398" s="6"/>
      <c r="G398" s="12" t="str">
        <f>IF(D398="","",IFERROR(INDEX('Master Produk'!$C$2:$C$101,MATCH(D398,'Master Produk'!$A$2:$A$101,0)),0)+SUMIFS(F$1:F397,D$1:D397,D398))</f>
        <v/>
      </c>
      <c r="H398" s="12" t="str">
        <f t="shared" si="13"/>
        <v/>
      </c>
      <c r="I398" s="5"/>
      <c r="J398" s="5"/>
      <c r="K398" s="11" t="str">
        <f>IF(D398="","",IF(ISNA(MATCH(D398,'Master Produk'!$A$2:$A$101,0)),"SKU tidak ada di master",IF(AND(C398="Stok masuk",F398&lt;0),"Stok masuk harus +",IF(AND(C398="Stok keluar",F398&gt;0),"Stok keluar harus -",IF(H398&lt;0,"Stok negatif","OK")))))</f>
        <v/>
      </c>
    </row>
    <row r="399" spans="1:11" x14ac:dyDescent="0.3">
      <c r="A399" s="9" t="str">
        <f t="shared" si="12"/>
        <v/>
      </c>
      <c r="B399" s="10"/>
      <c r="C399" s="5"/>
      <c r="D399" s="5"/>
      <c r="E399" s="11" t="str">
        <f>IF(D399="","",IFERROR(INDEX('Master Produk'!$B$2:$B$101,MATCH(D399,'Master Produk'!$A$2:$A$101,0)),"SKU tidak ada di master"))</f>
        <v/>
      </c>
      <c r="F399" s="6"/>
      <c r="G399" s="12" t="str">
        <f>IF(D399="","",IFERROR(INDEX('Master Produk'!$C$2:$C$101,MATCH(D399,'Master Produk'!$A$2:$A$101,0)),0)+SUMIFS(F$1:F398,D$1:D398,D399))</f>
        <v/>
      </c>
      <c r="H399" s="12" t="str">
        <f t="shared" si="13"/>
        <v/>
      </c>
      <c r="I399" s="5"/>
      <c r="J399" s="5"/>
      <c r="K399" s="11" t="str">
        <f>IF(D399="","",IF(ISNA(MATCH(D399,'Master Produk'!$A$2:$A$101,0)),"SKU tidak ada di master",IF(AND(C399="Stok masuk",F399&lt;0),"Stok masuk harus +",IF(AND(C399="Stok keluar",F399&gt;0),"Stok keluar harus -",IF(H399&lt;0,"Stok negatif","OK")))))</f>
        <v/>
      </c>
    </row>
    <row r="400" spans="1:11" x14ac:dyDescent="0.3">
      <c r="A400" s="9" t="str">
        <f t="shared" si="12"/>
        <v/>
      </c>
      <c r="B400" s="10"/>
      <c r="C400" s="5"/>
      <c r="D400" s="5"/>
      <c r="E400" s="11" t="str">
        <f>IF(D400="","",IFERROR(INDEX('Master Produk'!$B$2:$B$101,MATCH(D400,'Master Produk'!$A$2:$A$101,0)),"SKU tidak ada di master"))</f>
        <v/>
      </c>
      <c r="F400" s="6"/>
      <c r="G400" s="12" t="str">
        <f>IF(D400="","",IFERROR(INDEX('Master Produk'!$C$2:$C$101,MATCH(D400,'Master Produk'!$A$2:$A$101,0)),0)+SUMIFS(F$1:F399,D$1:D399,D400))</f>
        <v/>
      </c>
      <c r="H400" s="12" t="str">
        <f t="shared" si="13"/>
        <v/>
      </c>
      <c r="I400" s="5"/>
      <c r="J400" s="5"/>
      <c r="K400" s="11" t="str">
        <f>IF(D400="","",IF(ISNA(MATCH(D400,'Master Produk'!$A$2:$A$101,0)),"SKU tidak ada di master",IF(AND(C400="Stok masuk",F400&lt;0),"Stok masuk harus +",IF(AND(C400="Stok keluar",F400&gt;0),"Stok keluar harus -",IF(H400&lt;0,"Stok negatif","OK")))))</f>
        <v/>
      </c>
    </row>
    <row r="401" spans="1:11" x14ac:dyDescent="0.3">
      <c r="A401" s="9" t="str">
        <f t="shared" si="12"/>
        <v/>
      </c>
      <c r="B401" s="10"/>
      <c r="C401" s="5"/>
      <c r="D401" s="5"/>
      <c r="E401" s="11" t="str">
        <f>IF(D401="","",IFERROR(INDEX('Master Produk'!$B$2:$B$101,MATCH(D401,'Master Produk'!$A$2:$A$101,0)),"SKU tidak ada di master"))</f>
        <v/>
      </c>
      <c r="F401" s="6"/>
      <c r="G401" s="12" t="str">
        <f>IF(D401="","",IFERROR(INDEX('Master Produk'!$C$2:$C$101,MATCH(D401,'Master Produk'!$A$2:$A$101,0)),0)+SUMIFS(F$1:F400,D$1:D400,D401))</f>
        <v/>
      </c>
      <c r="H401" s="12" t="str">
        <f t="shared" si="13"/>
        <v/>
      </c>
      <c r="I401" s="5"/>
      <c r="J401" s="5"/>
      <c r="K401" s="11" t="str">
        <f>IF(D401="","",IF(ISNA(MATCH(D401,'Master Produk'!$A$2:$A$101,0)),"SKU tidak ada di master",IF(AND(C401="Stok masuk",F401&lt;0),"Stok masuk harus +",IF(AND(C401="Stok keluar",F401&gt;0),"Stok keluar harus -",IF(H401&lt;0,"Stok negatif","OK")))))</f>
        <v/>
      </c>
    </row>
    <row r="402" spans="1:11" x14ac:dyDescent="0.3">
      <c r="A402" s="9" t="str">
        <f t="shared" si="12"/>
        <v/>
      </c>
      <c r="B402" s="10"/>
      <c r="C402" s="5"/>
      <c r="D402" s="5"/>
      <c r="E402" s="11" t="str">
        <f>IF(D402="","",IFERROR(INDEX('Master Produk'!$B$2:$B$101,MATCH(D402,'Master Produk'!$A$2:$A$101,0)),"SKU tidak ada di master"))</f>
        <v/>
      </c>
      <c r="F402" s="6"/>
      <c r="G402" s="12" t="str">
        <f>IF(D402="","",IFERROR(INDEX('Master Produk'!$C$2:$C$101,MATCH(D402,'Master Produk'!$A$2:$A$101,0)),0)+SUMIFS(F$1:F401,D$1:D401,D402))</f>
        <v/>
      </c>
      <c r="H402" s="12" t="str">
        <f t="shared" si="13"/>
        <v/>
      </c>
      <c r="I402" s="5"/>
      <c r="J402" s="5"/>
      <c r="K402" s="11" t="str">
        <f>IF(D402="","",IF(ISNA(MATCH(D402,'Master Produk'!$A$2:$A$101,0)),"SKU tidak ada di master",IF(AND(C402="Stok masuk",F402&lt;0),"Stok masuk harus +",IF(AND(C402="Stok keluar",F402&gt;0),"Stok keluar harus -",IF(H402&lt;0,"Stok negatif","OK")))))</f>
        <v/>
      </c>
    </row>
    <row r="403" spans="1:11" x14ac:dyDescent="0.3">
      <c r="A403" s="9" t="str">
        <f t="shared" si="12"/>
        <v/>
      </c>
      <c r="B403" s="10"/>
      <c r="C403" s="5"/>
      <c r="D403" s="5"/>
      <c r="E403" s="11" t="str">
        <f>IF(D403="","",IFERROR(INDEX('Master Produk'!$B$2:$B$101,MATCH(D403,'Master Produk'!$A$2:$A$101,0)),"SKU tidak ada di master"))</f>
        <v/>
      </c>
      <c r="F403" s="6"/>
      <c r="G403" s="12" t="str">
        <f>IF(D403="","",IFERROR(INDEX('Master Produk'!$C$2:$C$101,MATCH(D403,'Master Produk'!$A$2:$A$101,0)),0)+SUMIFS(F$1:F402,D$1:D402,D403))</f>
        <v/>
      </c>
      <c r="H403" s="12" t="str">
        <f t="shared" si="13"/>
        <v/>
      </c>
      <c r="I403" s="5"/>
      <c r="J403" s="5"/>
      <c r="K403" s="11" t="str">
        <f>IF(D403="","",IF(ISNA(MATCH(D403,'Master Produk'!$A$2:$A$101,0)),"SKU tidak ada di master",IF(AND(C403="Stok masuk",F403&lt;0),"Stok masuk harus +",IF(AND(C403="Stok keluar",F403&gt;0),"Stok keluar harus -",IF(H403&lt;0,"Stok negatif","OK")))))</f>
        <v/>
      </c>
    </row>
    <row r="404" spans="1:11" x14ac:dyDescent="0.3">
      <c r="A404" s="9" t="str">
        <f t="shared" si="12"/>
        <v/>
      </c>
      <c r="B404" s="10"/>
      <c r="C404" s="5"/>
      <c r="D404" s="5"/>
      <c r="E404" s="11" t="str">
        <f>IF(D404="","",IFERROR(INDEX('Master Produk'!$B$2:$B$101,MATCH(D404,'Master Produk'!$A$2:$A$101,0)),"SKU tidak ada di master"))</f>
        <v/>
      </c>
      <c r="F404" s="6"/>
      <c r="G404" s="12" t="str">
        <f>IF(D404="","",IFERROR(INDEX('Master Produk'!$C$2:$C$101,MATCH(D404,'Master Produk'!$A$2:$A$101,0)),0)+SUMIFS(F$1:F403,D$1:D403,D404))</f>
        <v/>
      </c>
      <c r="H404" s="12" t="str">
        <f t="shared" si="13"/>
        <v/>
      </c>
      <c r="I404" s="5"/>
      <c r="J404" s="5"/>
      <c r="K404" s="11" t="str">
        <f>IF(D404="","",IF(ISNA(MATCH(D404,'Master Produk'!$A$2:$A$101,0)),"SKU tidak ada di master",IF(AND(C404="Stok masuk",F404&lt;0),"Stok masuk harus +",IF(AND(C404="Stok keluar",F404&gt;0),"Stok keluar harus -",IF(H404&lt;0,"Stok negatif","OK")))))</f>
        <v/>
      </c>
    </row>
    <row r="405" spans="1:11" x14ac:dyDescent="0.3">
      <c r="A405" s="9" t="str">
        <f t="shared" si="12"/>
        <v/>
      </c>
      <c r="B405" s="10"/>
      <c r="C405" s="5"/>
      <c r="D405" s="5"/>
      <c r="E405" s="11" t="str">
        <f>IF(D405="","",IFERROR(INDEX('Master Produk'!$B$2:$B$101,MATCH(D405,'Master Produk'!$A$2:$A$101,0)),"SKU tidak ada di master"))</f>
        <v/>
      </c>
      <c r="F405" s="6"/>
      <c r="G405" s="12" t="str">
        <f>IF(D405="","",IFERROR(INDEX('Master Produk'!$C$2:$C$101,MATCH(D405,'Master Produk'!$A$2:$A$101,0)),0)+SUMIFS(F$1:F404,D$1:D404,D405))</f>
        <v/>
      </c>
      <c r="H405" s="12" t="str">
        <f t="shared" si="13"/>
        <v/>
      </c>
      <c r="I405" s="5"/>
      <c r="J405" s="5"/>
      <c r="K405" s="11" t="str">
        <f>IF(D405="","",IF(ISNA(MATCH(D405,'Master Produk'!$A$2:$A$101,0)),"SKU tidak ada di master",IF(AND(C405="Stok masuk",F405&lt;0),"Stok masuk harus +",IF(AND(C405="Stok keluar",F405&gt;0),"Stok keluar harus -",IF(H405&lt;0,"Stok negatif","OK")))))</f>
        <v/>
      </c>
    </row>
    <row r="406" spans="1:11" x14ac:dyDescent="0.3">
      <c r="A406" s="9" t="str">
        <f t="shared" si="12"/>
        <v/>
      </c>
      <c r="B406" s="10"/>
      <c r="C406" s="5"/>
      <c r="D406" s="5"/>
      <c r="E406" s="11" t="str">
        <f>IF(D406="","",IFERROR(INDEX('Master Produk'!$B$2:$B$101,MATCH(D406,'Master Produk'!$A$2:$A$101,0)),"SKU tidak ada di master"))</f>
        <v/>
      </c>
      <c r="F406" s="6"/>
      <c r="G406" s="12" t="str">
        <f>IF(D406="","",IFERROR(INDEX('Master Produk'!$C$2:$C$101,MATCH(D406,'Master Produk'!$A$2:$A$101,0)),0)+SUMIFS(F$1:F405,D$1:D405,D406))</f>
        <v/>
      </c>
      <c r="H406" s="12" t="str">
        <f t="shared" si="13"/>
        <v/>
      </c>
      <c r="I406" s="5"/>
      <c r="J406" s="5"/>
      <c r="K406" s="11" t="str">
        <f>IF(D406="","",IF(ISNA(MATCH(D406,'Master Produk'!$A$2:$A$101,0)),"SKU tidak ada di master",IF(AND(C406="Stok masuk",F406&lt;0),"Stok masuk harus +",IF(AND(C406="Stok keluar",F406&gt;0),"Stok keluar harus -",IF(H406&lt;0,"Stok negatif","OK")))))</f>
        <v/>
      </c>
    </row>
    <row r="407" spans="1:11" x14ac:dyDescent="0.3">
      <c r="A407" s="9" t="str">
        <f t="shared" si="12"/>
        <v/>
      </c>
      <c r="B407" s="10"/>
      <c r="C407" s="5"/>
      <c r="D407" s="5"/>
      <c r="E407" s="11" t="str">
        <f>IF(D407="","",IFERROR(INDEX('Master Produk'!$B$2:$B$101,MATCH(D407,'Master Produk'!$A$2:$A$101,0)),"SKU tidak ada di master"))</f>
        <v/>
      </c>
      <c r="F407" s="6"/>
      <c r="G407" s="12" t="str">
        <f>IF(D407="","",IFERROR(INDEX('Master Produk'!$C$2:$C$101,MATCH(D407,'Master Produk'!$A$2:$A$101,0)),0)+SUMIFS(F$1:F406,D$1:D406,D407))</f>
        <v/>
      </c>
      <c r="H407" s="12" t="str">
        <f t="shared" si="13"/>
        <v/>
      </c>
      <c r="I407" s="5"/>
      <c r="J407" s="5"/>
      <c r="K407" s="11" t="str">
        <f>IF(D407="","",IF(ISNA(MATCH(D407,'Master Produk'!$A$2:$A$101,0)),"SKU tidak ada di master",IF(AND(C407="Stok masuk",F407&lt;0),"Stok masuk harus +",IF(AND(C407="Stok keluar",F407&gt;0),"Stok keluar harus -",IF(H407&lt;0,"Stok negatif","OK")))))</f>
        <v/>
      </c>
    </row>
    <row r="408" spans="1:11" x14ac:dyDescent="0.3">
      <c r="A408" s="9" t="str">
        <f t="shared" si="12"/>
        <v/>
      </c>
      <c r="B408" s="10"/>
      <c r="C408" s="5"/>
      <c r="D408" s="5"/>
      <c r="E408" s="11" t="str">
        <f>IF(D408="","",IFERROR(INDEX('Master Produk'!$B$2:$B$101,MATCH(D408,'Master Produk'!$A$2:$A$101,0)),"SKU tidak ada di master"))</f>
        <v/>
      </c>
      <c r="F408" s="6"/>
      <c r="G408" s="12" t="str">
        <f>IF(D408="","",IFERROR(INDEX('Master Produk'!$C$2:$C$101,MATCH(D408,'Master Produk'!$A$2:$A$101,0)),0)+SUMIFS(F$1:F407,D$1:D407,D408))</f>
        <v/>
      </c>
      <c r="H408" s="12" t="str">
        <f t="shared" si="13"/>
        <v/>
      </c>
      <c r="I408" s="5"/>
      <c r="J408" s="5"/>
      <c r="K408" s="11" t="str">
        <f>IF(D408="","",IF(ISNA(MATCH(D408,'Master Produk'!$A$2:$A$101,0)),"SKU tidak ada di master",IF(AND(C408="Stok masuk",F408&lt;0),"Stok masuk harus +",IF(AND(C408="Stok keluar",F408&gt;0),"Stok keluar harus -",IF(H408&lt;0,"Stok negatif","OK")))))</f>
        <v/>
      </c>
    </row>
    <row r="409" spans="1:11" x14ac:dyDescent="0.3">
      <c r="A409" s="9" t="str">
        <f t="shared" si="12"/>
        <v/>
      </c>
      <c r="B409" s="10"/>
      <c r="C409" s="5"/>
      <c r="D409" s="5"/>
      <c r="E409" s="11" t="str">
        <f>IF(D409="","",IFERROR(INDEX('Master Produk'!$B$2:$B$101,MATCH(D409,'Master Produk'!$A$2:$A$101,0)),"SKU tidak ada di master"))</f>
        <v/>
      </c>
      <c r="F409" s="6"/>
      <c r="G409" s="12" t="str">
        <f>IF(D409="","",IFERROR(INDEX('Master Produk'!$C$2:$C$101,MATCH(D409,'Master Produk'!$A$2:$A$101,0)),0)+SUMIFS(F$1:F408,D$1:D408,D409))</f>
        <v/>
      </c>
      <c r="H409" s="12" t="str">
        <f t="shared" si="13"/>
        <v/>
      </c>
      <c r="I409" s="5"/>
      <c r="J409" s="5"/>
      <c r="K409" s="11" t="str">
        <f>IF(D409="","",IF(ISNA(MATCH(D409,'Master Produk'!$A$2:$A$101,0)),"SKU tidak ada di master",IF(AND(C409="Stok masuk",F409&lt;0),"Stok masuk harus +",IF(AND(C409="Stok keluar",F409&gt;0),"Stok keluar harus -",IF(H409&lt;0,"Stok negatif","OK")))))</f>
        <v/>
      </c>
    </row>
    <row r="410" spans="1:11" x14ac:dyDescent="0.3">
      <c r="A410" s="9" t="str">
        <f t="shared" si="12"/>
        <v/>
      </c>
      <c r="B410" s="10"/>
      <c r="C410" s="5"/>
      <c r="D410" s="5"/>
      <c r="E410" s="11" t="str">
        <f>IF(D410="","",IFERROR(INDEX('Master Produk'!$B$2:$B$101,MATCH(D410,'Master Produk'!$A$2:$A$101,0)),"SKU tidak ada di master"))</f>
        <v/>
      </c>
      <c r="F410" s="6"/>
      <c r="G410" s="12" t="str">
        <f>IF(D410="","",IFERROR(INDEX('Master Produk'!$C$2:$C$101,MATCH(D410,'Master Produk'!$A$2:$A$101,0)),0)+SUMIFS(F$1:F409,D$1:D409,D410))</f>
        <v/>
      </c>
      <c r="H410" s="12" t="str">
        <f t="shared" si="13"/>
        <v/>
      </c>
      <c r="I410" s="5"/>
      <c r="J410" s="5"/>
      <c r="K410" s="11" t="str">
        <f>IF(D410="","",IF(ISNA(MATCH(D410,'Master Produk'!$A$2:$A$101,0)),"SKU tidak ada di master",IF(AND(C410="Stok masuk",F410&lt;0),"Stok masuk harus +",IF(AND(C410="Stok keluar",F410&gt;0),"Stok keluar harus -",IF(H410&lt;0,"Stok negatif","OK")))))</f>
        <v/>
      </c>
    </row>
    <row r="411" spans="1:11" x14ac:dyDescent="0.3">
      <c r="A411" s="9" t="str">
        <f t="shared" si="12"/>
        <v/>
      </c>
      <c r="B411" s="10"/>
      <c r="C411" s="5"/>
      <c r="D411" s="5"/>
      <c r="E411" s="11" t="str">
        <f>IF(D411="","",IFERROR(INDEX('Master Produk'!$B$2:$B$101,MATCH(D411,'Master Produk'!$A$2:$A$101,0)),"SKU tidak ada di master"))</f>
        <v/>
      </c>
      <c r="F411" s="6"/>
      <c r="G411" s="12" t="str">
        <f>IF(D411="","",IFERROR(INDEX('Master Produk'!$C$2:$C$101,MATCH(D411,'Master Produk'!$A$2:$A$101,0)),0)+SUMIFS(F$1:F410,D$1:D410,D411))</f>
        <v/>
      </c>
      <c r="H411" s="12" t="str">
        <f t="shared" si="13"/>
        <v/>
      </c>
      <c r="I411" s="5"/>
      <c r="J411" s="5"/>
      <c r="K411" s="11" t="str">
        <f>IF(D411="","",IF(ISNA(MATCH(D411,'Master Produk'!$A$2:$A$101,0)),"SKU tidak ada di master",IF(AND(C411="Stok masuk",F411&lt;0),"Stok masuk harus +",IF(AND(C411="Stok keluar",F411&gt;0),"Stok keluar harus -",IF(H411&lt;0,"Stok negatif","OK")))))</f>
        <v/>
      </c>
    </row>
    <row r="412" spans="1:11" x14ac:dyDescent="0.3">
      <c r="A412" s="9" t="str">
        <f t="shared" si="12"/>
        <v/>
      </c>
      <c r="B412" s="10"/>
      <c r="C412" s="5"/>
      <c r="D412" s="5"/>
      <c r="E412" s="11" t="str">
        <f>IF(D412="","",IFERROR(INDEX('Master Produk'!$B$2:$B$101,MATCH(D412,'Master Produk'!$A$2:$A$101,0)),"SKU tidak ada di master"))</f>
        <v/>
      </c>
      <c r="F412" s="6"/>
      <c r="G412" s="12" t="str">
        <f>IF(D412="","",IFERROR(INDEX('Master Produk'!$C$2:$C$101,MATCH(D412,'Master Produk'!$A$2:$A$101,0)),0)+SUMIFS(F$1:F411,D$1:D411,D412))</f>
        <v/>
      </c>
      <c r="H412" s="12" t="str">
        <f t="shared" si="13"/>
        <v/>
      </c>
      <c r="I412" s="5"/>
      <c r="J412" s="5"/>
      <c r="K412" s="11" t="str">
        <f>IF(D412="","",IF(ISNA(MATCH(D412,'Master Produk'!$A$2:$A$101,0)),"SKU tidak ada di master",IF(AND(C412="Stok masuk",F412&lt;0),"Stok masuk harus +",IF(AND(C412="Stok keluar",F412&gt;0),"Stok keluar harus -",IF(H412&lt;0,"Stok negatif","OK")))))</f>
        <v/>
      </c>
    </row>
    <row r="413" spans="1:11" x14ac:dyDescent="0.3">
      <c r="A413" s="9" t="str">
        <f t="shared" si="12"/>
        <v/>
      </c>
      <c r="B413" s="10"/>
      <c r="C413" s="5"/>
      <c r="D413" s="5"/>
      <c r="E413" s="11" t="str">
        <f>IF(D413="","",IFERROR(INDEX('Master Produk'!$B$2:$B$101,MATCH(D413,'Master Produk'!$A$2:$A$101,0)),"SKU tidak ada di master"))</f>
        <v/>
      </c>
      <c r="F413" s="6"/>
      <c r="G413" s="12" t="str">
        <f>IF(D413="","",IFERROR(INDEX('Master Produk'!$C$2:$C$101,MATCH(D413,'Master Produk'!$A$2:$A$101,0)),0)+SUMIFS(F$1:F412,D$1:D412,D413))</f>
        <v/>
      </c>
      <c r="H413" s="12" t="str">
        <f t="shared" si="13"/>
        <v/>
      </c>
      <c r="I413" s="5"/>
      <c r="J413" s="5"/>
      <c r="K413" s="11" t="str">
        <f>IF(D413="","",IF(ISNA(MATCH(D413,'Master Produk'!$A$2:$A$101,0)),"SKU tidak ada di master",IF(AND(C413="Stok masuk",F413&lt;0),"Stok masuk harus +",IF(AND(C413="Stok keluar",F413&gt;0),"Stok keluar harus -",IF(H413&lt;0,"Stok negatif","OK")))))</f>
        <v/>
      </c>
    </row>
    <row r="414" spans="1:11" x14ac:dyDescent="0.3">
      <c r="A414" s="9" t="str">
        <f t="shared" si="12"/>
        <v/>
      </c>
      <c r="B414" s="10"/>
      <c r="C414" s="5"/>
      <c r="D414" s="5"/>
      <c r="E414" s="11" t="str">
        <f>IF(D414="","",IFERROR(INDEX('Master Produk'!$B$2:$B$101,MATCH(D414,'Master Produk'!$A$2:$A$101,0)),"SKU tidak ada di master"))</f>
        <v/>
      </c>
      <c r="F414" s="6"/>
      <c r="G414" s="12" t="str">
        <f>IF(D414="","",IFERROR(INDEX('Master Produk'!$C$2:$C$101,MATCH(D414,'Master Produk'!$A$2:$A$101,0)),0)+SUMIFS(F$1:F413,D$1:D413,D414))</f>
        <v/>
      </c>
      <c r="H414" s="12" t="str">
        <f t="shared" si="13"/>
        <v/>
      </c>
      <c r="I414" s="5"/>
      <c r="J414" s="5"/>
      <c r="K414" s="11" t="str">
        <f>IF(D414="","",IF(ISNA(MATCH(D414,'Master Produk'!$A$2:$A$101,0)),"SKU tidak ada di master",IF(AND(C414="Stok masuk",F414&lt;0),"Stok masuk harus +",IF(AND(C414="Stok keluar",F414&gt;0),"Stok keluar harus -",IF(H414&lt;0,"Stok negatif","OK")))))</f>
        <v/>
      </c>
    </row>
    <row r="415" spans="1:11" x14ac:dyDescent="0.3">
      <c r="A415" s="9" t="str">
        <f t="shared" si="12"/>
        <v/>
      </c>
      <c r="B415" s="10"/>
      <c r="C415" s="5"/>
      <c r="D415" s="5"/>
      <c r="E415" s="11" t="str">
        <f>IF(D415="","",IFERROR(INDEX('Master Produk'!$B$2:$B$101,MATCH(D415,'Master Produk'!$A$2:$A$101,0)),"SKU tidak ada di master"))</f>
        <v/>
      </c>
      <c r="F415" s="6"/>
      <c r="G415" s="12" t="str">
        <f>IF(D415="","",IFERROR(INDEX('Master Produk'!$C$2:$C$101,MATCH(D415,'Master Produk'!$A$2:$A$101,0)),0)+SUMIFS(F$1:F414,D$1:D414,D415))</f>
        <v/>
      </c>
      <c r="H415" s="12" t="str">
        <f t="shared" si="13"/>
        <v/>
      </c>
      <c r="I415" s="5"/>
      <c r="J415" s="5"/>
      <c r="K415" s="11" t="str">
        <f>IF(D415="","",IF(ISNA(MATCH(D415,'Master Produk'!$A$2:$A$101,0)),"SKU tidak ada di master",IF(AND(C415="Stok masuk",F415&lt;0),"Stok masuk harus +",IF(AND(C415="Stok keluar",F415&gt;0),"Stok keluar harus -",IF(H415&lt;0,"Stok negatif","OK")))))</f>
        <v/>
      </c>
    </row>
    <row r="416" spans="1:11" x14ac:dyDescent="0.3">
      <c r="A416" s="9" t="str">
        <f t="shared" si="12"/>
        <v/>
      </c>
      <c r="B416" s="10"/>
      <c r="C416" s="5"/>
      <c r="D416" s="5"/>
      <c r="E416" s="11" t="str">
        <f>IF(D416="","",IFERROR(INDEX('Master Produk'!$B$2:$B$101,MATCH(D416,'Master Produk'!$A$2:$A$101,0)),"SKU tidak ada di master"))</f>
        <v/>
      </c>
      <c r="F416" s="6"/>
      <c r="G416" s="12" t="str">
        <f>IF(D416="","",IFERROR(INDEX('Master Produk'!$C$2:$C$101,MATCH(D416,'Master Produk'!$A$2:$A$101,0)),0)+SUMIFS(F$1:F415,D$1:D415,D416))</f>
        <v/>
      </c>
      <c r="H416" s="12" t="str">
        <f t="shared" si="13"/>
        <v/>
      </c>
      <c r="I416" s="5"/>
      <c r="J416" s="5"/>
      <c r="K416" s="11" t="str">
        <f>IF(D416="","",IF(ISNA(MATCH(D416,'Master Produk'!$A$2:$A$101,0)),"SKU tidak ada di master",IF(AND(C416="Stok masuk",F416&lt;0),"Stok masuk harus +",IF(AND(C416="Stok keluar",F416&gt;0),"Stok keluar harus -",IF(H416&lt;0,"Stok negatif","OK")))))</f>
        <v/>
      </c>
    </row>
    <row r="417" spans="1:11" x14ac:dyDescent="0.3">
      <c r="A417" s="9" t="str">
        <f t="shared" si="12"/>
        <v/>
      </c>
      <c r="B417" s="10"/>
      <c r="C417" s="5"/>
      <c r="D417" s="5"/>
      <c r="E417" s="11" t="str">
        <f>IF(D417="","",IFERROR(INDEX('Master Produk'!$B$2:$B$101,MATCH(D417,'Master Produk'!$A$2:$A$101,0)),"SKU tidak ada di master"))</f>
        <v/>
      </c>
      <c r="F417" s="6"/>
      <c r="G417" s="12" t="str">
        <f>IF(D417="","",IFERROR(INDEX('Master Produk'!$C$2:$C$101,MATCH(D417,'Master Produk'!$A$2:$A$101,0)),0)+SUMIFS(F$1:F416,D$1:D416,D417))</f>
        <v/>
      </c>
      <c r="H417" s="12" t="str">
        <f t="shared" si="13"/>
        <v/>
      </c>
      <c r="I417" s="5"/>
      <c r="J417" s="5"/>
      <c r="K417" s="11" t="str">
        <f>IF(D417="","",IF(ISNA(MATCH(D417,'Master Produk'!$A$2:$A$101,0)),"SKU tidak ada di master",IF(AND(C417="Stok masuk",F417&lt;0),"Stok masuk harus +",IF(AND(C417="Stok keluar",F417&gt;0),"Stok keluar harus -",IF(H417&lt;0,"Stok negatif","OK")))))</f>
        <v/>
      </c>
    </row>
    <row r="418" spans="1:11" x14ac:dyDescent="0.3">
      <c r="A418" s="9" t="str">
        <f t="shared" si="12"/>
        <v/>
      </c>
      <c r="B418" s="10"/>
      <c r="C418" s="5"/>
      <c r="D418" s="5"/>
      <c r="E418" s="11" t="str">
        <f>IF(D418="","",IFERROR(INDEX('Master Produk'!$B$2:$B$101,MATCH(D418,'Master Produk'!$A$2:$A$101,0)),"SKU tidak ada di master"))</f>
        <v/>
      </c>
      <c r="F418" s="6"/>
      <c r="G418" s="12" t="str">
        <f>IF(D418="","",IFERROR(INDEX('Master Produk'!$C$2:$C$101,MATCH(D418,'Master Produk'!$A$2:$A$101,0)),0)+SUMIFS(F$1:F417,D$1:D417,D418))</f>
        <v/>
      </c>
      <c r="H418" s="12" t="str">
        <f t="shared" si="13"/>
        <v/>
      </c>
      <c r="I418" s="5"/>
      <c r="J418" s="5"/>
      <c r="K418" s="11" t="str">
        <f>IF(D418="","",IF(ISNA(MATCH(D418,'Master Produk'!$A$2:$A$101,0)),"SKU tidak ada di master",IF(AND(C418="Stok masuk",F418&lt;0),"Stok masuk harus +",IF(AND(C418="Stok keluar",F418&gt;0),"Stok keluar harus -",IF(H418&lt;0,"Stok negatif","OK")))))</f>
        <v/>
      </c>
    </row>
    <row r="419" spans="1:11" x14ac:dyDescent="0.3">
      <c r="A419" s="9" t="str">
        <f t="shared" si="12"/>
        <v/>
      </c>
      <c r="B419" s="10"/>
      <c r="C419" s="5"/>
      <c r="D419" s="5"/>
      <c r="E419" s="11" t="str">
        <f>IF(D419="","",IFERROR(INDEX('Master Produk'!$B$2:$B$101,MATCH(D419,'Master Produk'!$A$2:$A$101,0)),"SKU tidak ada di master"))</f>
        <v/>
      </c>
      <c r="F419" s="6"/>
      <c r="G419" s="12" t="str">
        <f>IF(D419="","",IFERROR(INDEX('Master Produk'!$C$2:$C$101,MATCH(D419,'Master Produk'!$A$2:$A$101,0)),0)+SUMIFS(F$1:F418,D$1:D418,D419))</f>
        <v/>
      </c>
      <c r="H419" s="12" t="str">
        <f t="shared" si="13"/>
        <v/>
      </c>
      <c r="I419" s="5"/>
      <c r="J419" s="5"/>
      <c r="K419" s="11" t="str">
        <f>IF(D419="","",IF(ISNA(MATCH(D419,'Master Produk'!$A$2:$A$101,0)),"SKU tidak ada di master",IF(AND(C419="Stok masuk",F419&lt;0),"Stok masuk harus +",IF(AND(C419="Stok keluar",F419&gt;0),"Stok keluar harus -",IF(H419&lt;0,"Stok negatif","OK")))))</f>
        <v/>
      </c>
    </row>
    <row r="420" spans="1:11" x14ac:dyDescent="0.3">
      <c r="A420" s="9" t="str">
        <f t="shared" si="12"/>
        <v/>
      </c>
      <c r="B420" s="10"/>
      <c r="C420" s="5"/>
      <c r="D420" s="5"/>
      <c r="E420" s="11" t="str">
        <f>IF(D420="","",IFERROR(INDEX('Master Produk'!$B$2:$B$101,MATCH(D420,'Master Produk'!$A$2:$A$101,0)),"SKU tidak ada di master"))</f>
        <v/>
      </c>
      <c r="F420" s="6"/>
      <c r="G420" s="12" t="str">
        <f>IF(D420="","",IFERROR(INDEX('Master Produk'!$C$2:$C$101,MATCH(D420,'Master Produk'!$A$2:$A$101,0)),0)+SUMIFS(F$1:F419,D$1:D419,D420))</f>
        <v/>
      </c>
      <c r="H420" s="12" t="str">
        <f t="shared" si="13"/>
        <v/>
      </c>
      <c r="I420" s="5"/>
      <c r="J420" s="5"/>
      <c r="K420" s="11" t="str">
        <f>IF(D420="","",IF(ISNA(MATCH(D420,'Master Produk'!$A$2:$A$101,0)),"SKU tidak ada di master",IF(AND(C420="Stok masuk",F420&lt;0),"Stok masuk harus +",IF(AND(C420="Stok keluar",F420&gt;0),"Stok keluar harus -",IF(H420&lt;0,"Stok negatif","OK")))))</f>
        <v/>
      </c>
    </row>
    <row r="421" spans="1:11" x14ac:dyDescent="0.3">
      <c r="A421" s="9" t="str">
        <f t="shared" si="12"/>
        <v/>
      </c>
      <c r="B421" s="10"/>
      <c r="C421" s="5"/>
      <c r="D421" s="5"/>
      <c r="E421" s="11" t="str">
        <f>IF(D421="","",IFERROR(INDEX('Master Produk'!$B$2:$B$101,MATCH(D421,'Master Produk'!$A$2:$A$101,0)),"SKU tidak ada di master"))</f>
        <v/>
      </c>
      <c r="F421" s="6"/>
      <c r="G421" s="12" t="str">
        <f>IF(D421="","",IFERROR(INDEX('Master Produk'!$C$2:$C$101,MATCH(D421,'Master Produk'!$A$2:$A$101,0)),0)+SUMIFS(F$1:F420,D$1:D420,D421))</f>
        <v/>
      </c>
      <c r="H421" s="12" t="str">
        <f t="shared" si="13"/>
        <v/>
      </c>
      <c r="I421" s="5"/>
      <c r="J421" s="5"/>
      <c r="K421" s="11" t="str">
        <f>IF(D421="","",IF(ISNA(MATCH(D421,'Master Produk'!$A$2:$A$101,0)),"SKU tidak ada di master",IF(AND(C421="Stok masuk",F421&lt;0),"Stok masuk harus +",IF(AND(C421="Stok keluar",F421&gt;0),"Stok keluar harus -",IF(H421&lt;0,"Stok negatif","OK")))))</f>
        <v/>
      </c>
    </row>
    <row r="422" spans="1:11" x14ac:dyDescent="0.3">
      <c r="A422" s="9" t="str">
        <f t="shared" si="12"/>
        <v/>
      </c>
      <c r="B422" s="10"/>
      <c r="C422" s="5"/>
      <c r="D422" s="5"/>
      <c r="E422" s="11" t="str">
        <f>IF(D422="","",IFERROR(INDEX('Master Produk'!$B$2:$B$101,MATCH(D422,'Master Produk'!$A$2:$A$101,0)),"SKU tidak ada di master"))</f>
        <v/>
      </c>
      <c r="F422" s="6"/>
      <c r="G422" s="12" t="str">
        <f>IF(D422="","",IFERROR(INDEX('Master Produk'!$C$2:$C$101,MATCH(D422,'Master Produk'!$A$2:$A$101,0)),0)+SUMIFS(F$1:F421,D$1:D421,D422))</f>
        <v/>
      </c>
      <c r="H422" s="12" t="str">
        <f t="shared" si="13"/>
        <v/>
      </c>
      <c r="I422" s="5"/>
      <c r="J422" s="5"/>
      <c r="K422" s="11" t="str">
        <f>IF(D422="","",IF(ISNA(MATCH(D422,'Master Produk'!$A$2:$A$101,0)),"SKU tidak ada di master",IF(AND(C422="Stok masuk",F422&lt;0),"Stok masuk harus +",IF(AND(C422="Stok keluar",F422&gt;0),"Stok keluar harus -",IF(H422&lt;0,"Stok negatif","OK")))))</f>
        <v/>
      </c>
    </row>
    <row r="423" spans="1:11" x14ac:dyDescent="0.3">
      <c r="A423" s="9" t="str">
        <f t="shared" si="12"/>
        <v/>
      </c>
      <c r="B423" s="10"/>
      <c r="C423" s="5"/>
      <c r="D423" s="5"/>
      <c r="E423" s="11" t="str">
        <f>IF(D423="","",IFERROR(INDEX('Master Produk'!$B$2:$B$101,MATCH(D423,'Master Produk'!$A$2:$A$101,0)),"SKU tidak ada di master"))</f>
        <v/>
      </c>
      <c r="F423" s="6"/>
      <c r="G423" s="12" t="str">
        <f>IF(D423="","",IFERROR(INDEX('Master Produk'!$C$2:$C$101,MATCH(D423,'Master Produk'!$A$2:$A$101,0)),0)+SUMIFS(F$1:F422,D$1:D422,D423))</f>
        <v/>
      </c>
      <c r="H423" s="12" t="str">
        <f t="shared" si="13"/>
        <v/>
      </c>
      <c r="I423" s="5"/>
      <c r="J423" s="5"/>
      <c r="K423" s="11" t="str">
        <f>IF(D423="","",IF(ISNA(MATCH(D423,'Master Produk'!$A$2:$A$101,0)),"SKU tidak ada di master",IF(AND(C423="Stok masuk",F423&lt;0),"Stok masuk harus +",IF(AND(C423="Stok keluar",F423&gt;0),"Stok keluar harus -",IF(H423&lt;0,"Stok negatif","OK")))))</f>
        <v/>
      </c>
    </row>
    <row r="424" spans="1:11" x14ac:dyDescent="0.3">
      <c r="A424" s="9" t="str">
        <f t="shared" si="12"/>
        <v/>
      </c>
      <c r="B424" s="10"/>
      <c r="C424" s="5"/>
      <c r="D424" s="5"/>
      <c r="E424" s="11" t="str">
        <f>IF(D424="","",IFERROR(INDEX('Master Produk'!$B$2:$B$101,MATCH(D424,'Master Produk'!$A$2:$A$101,0)),"SKU tidak ada di master"))</f>
        <v/>
      </c>
      <c r="F424" s="6"/>
      <c r="G424" s="12" t="str">
        <f>IF(D424="","",IFERROR(INDEX('Master Produk'!$C$2:$C$101,MATCH(D424,'Master Produk'!$A$2:$A$101,0)),0)+SUMIFS(F$1:F423,D$1:D423,D424))</f>
        <v/>
      </c>
      <c r="H424" s="12" t="str">
        <f t="shared" si="13"/>
        <v/>
      </c>
      <c r="I424" s="5"/>
      <c r="J424" s="5"/>
      <c r="K424" s="11" t="str">
        <f>IF(D424="","",IF(ISNA(MATCH(D424,'Master Produk'!$A$2:$A$101,0)),"SKU tidak ada di master",IF(AND(C424="Stok masuk",F424&lt;0),"Stok masuk harus +",IF(AND(C424="Stok keluar",F424&gt;0),"Stok keluar harus -",IF(H424&lt;0,"Stok negatif","OK")))))</f>
        <v/>
      </c>
    </row>
    <row r="425" spans="1:11" x14ac:dyDescent="0.3">
      <c r="A425" s="9" t="str">
        <f t="shared" si="12"/>
        <v/>
      </c>
      <c r="B425" s="10"/>
      <c r="C425" s="5"/>
      <c r="D425" s="5"/>
      <c r="E425" s="11" t="str">
        <f>IF(D425="","",IFERROR(INDEX('Master Produk'!$B$2:$B$101,MATCH(D425,'Master Produk'!$A$2:$A$101,0)),"SKU tidak ada di master"))</f>
        <v/>
      </c>
      <c r="F425" s="6"/>
      <c r="G425" s="12" t="str">
        <f>IF(D425="","",IFERROR(INDEX('Master Produk'!$C$2:$C$101,MATCH(D425,'Master Produk'!$A$2:$A$101,0)),0)+SUMIFS(F$1:F424,D$1:D424,D425))</f>
        <v/>
      </c>
      <c r="H425" s="12" t="str">
        <f t="shared" si="13"/>
        <v/>
      </c>
      <c r="I425" s="5"/>
      <c r="J425" s="5"/>
      <c r="K425" s="11" t="str">
        <f>IF(D425="","",IF(ISNA(MATCH(D425,'Master Produk'!$A$2:$A$101,0)),"SKU tidak ada di master",IF(AND(C425="Stok masuk",F425&lt;0),"Stok masuk harus +",IF(AND(C425="Stok keluar",F425&gt;0),"Stok keluar harus -",IF(H425&lt;0,"Stok negatif","OK")))))</f>
        <v/>
      </c>
    </row>
    <row r="426" spans="1:11" x14ac:dyDescent="0.3">
      <c r="A426" s="9" t="str">
        <f t="shared" si="12"/>
        <v/>
      </c>
      <c r="B426" s="10"/>
      <c r="C426" s="5"/>
      <c r="D426" s="5"/>
      <c r="E426" s="11" t="str">
        <f>IF(D426="","",IFERROR(INDEX('Master Produk'!$B$2:$B$101,MATCH(D426,'Master Produk'!$A$2:$A$101,0)),"SKU tidak ada di master"))</f>
        <v/>
      </c>
      <c r="F426" s="6"/>
      <c r="G426" s="12" t="str">
        <f>IF(D426="","",IFERROR(INDEX('Master Produk'!$C$2:$C$101,MATCH(D426,'Master Produk'!$A$2:$A$101,0)),0)+SUMIFS(F$1:F425,D$1:D425,D426))</f>
        <v/>
      </c>
      <c r="H426" s="12" t="str">
        <f t="shared" si="13"/>
        <v/>
      </c>
      <c r="I426" s="5"/>
      <c r="J426" s="5"/>
      <c r="K426" s="11" t="str">
        <f>IF(D426="","",IF(ISNA(MATCH(D426,'Master Produk'!$A$2:$A$101,0)),"SKU tidak ada di master",IF(AND(C426="Stok masuk",F426&lt;0),"Stok masuk harus +",IF(AND(C426="Stok keluar",F426&gt;0),"Stok keluar harus -",IF(H426&lt;0,"Stok negatif","OK")))))</f>
        <v/>
      </c>
    </row>
    <row r="427" spans="1:11" x14ac:dyDescent="0.3">
      <c r="A427" s="9" t="str">
        <f t="shared" si="12"/>
        <v/>
      </c>
      <c r="B427" s="10"/>
      <c r="C427" s="5"/>
      <c r="D427" s="5"/>
      <c r="E427" s="11" t="str">
        <f>IF(D427="","",IFERROR(INDEX('Master Produk'!$B$2:$B$101,MATCH(D427,'Master Produk'!$A$2:$A$101,0)),"SKU tidak ada di master"))</f>
        <v/>
      </c>
      <c r="F427" s="6"/>
      <c r="G427" s="12" t="str">
        <f>IF(D427="","",IFERROR(INDEX('Master Produk'!$C$2:$C$101,MATCH(D427,'Master Produk'!$A$2:$A$101,0)),0)+SUMIFS(F$1:F426,D$1:D426,D427))</f>
        <v/>
      </c>
      <c r="H427" s="12" t="str">
        <f t="shared" si="13"/>
        <v/>
      </c>
      <c r="I427" s="5"/>
      <c r="J427" s="5"/>
      <c r="K427" s="11" t="str">
        <f>IF(D427="","",IF(ISNA(MATCH(D427,'Master Produk'!$A$2:$A$101,0)),"SKU tidak ada di master",IF(AND(C427="Stok masuk",F427&lt;0),"Stok masuk harus +",IF(AND(C427="Stok keluar",F427&gt;0),"Stok keluar harus -",IF(H427&lt;0,"Stok negatif","OK")))))</f>
        <v/>
      </c>
    </row>
    <row r="428" spans="1:11" x14ac:dyDescent="0.3">
      <c r="A428" s="9" t="str">
        <f t="shared" si="12"/>
        <v/>
      </c>
      <c r="B428" s="10"/>
      <c r="C428" s="5"/>
      <c r="D428" s="5"/>
      <c r="E428" s="11" t="str">
        <f>IF(D428="","",IFERROR(INDEX('Master Produk'!$B$2:$B$101,MATCH(D428,'Master Produk'!$A$2:$A$101,0)),"SKU tidak ada di master"))</f>
        <v/>
      </c>
      <c r="F428" s="6"/>
      <c r="G428" s="12" t="str">
        <f>IF(D428="","",IFERROR(INDEX('Master Produk'!$C$2:$C$101,MATCH(D428,'Master Produk'!$A$2:$A$101,0)),0)+SUMIFS(F$1:F427,D$1:D427,D428))</f>
        <v/>
      </c>
      <c r="H428" s="12" t="str">
        <f t="shared" si="13"/>
        <v/>
      </c>
      <c r="I428" s="5"/>
      <c r="J428" s="5"/>
      <c r="K428" s="11" t="str">
        <f>IF(D428="","",IF(ISNA(MATCH(D428,'Master Produk'!$A$2:$A$101,0)),"SKU tidak ada di master",IF(AND(C428="Stok masuk",F428&lt;0),"Stok masuk harus +",IF(AND(C428="Stok keluar",F428&gt;0),"Stok keluar harus -",IF(H428&lt;0,"Stok negatif","OK")))))</f>
        <v/>
      </c>
    </row>
    <row r="429" spans="1:11" x14ac:dyDescent="0.3">
      <c r="A429" s="9" t="str">
        <f t="shared" si="12"/>
        <v/>
      </c>
      <c r="B429" s="10"/>
      <c r="C429" s="5"/>
      <c r="D429" s="5"/>
      <c r="E429" s="11" t="str">
        <f>IF(D429="","",IFERROR(INDEX('Master Produk'!$B$2:$B$101,MATCH(D429,'Master Produk'!$A$2:$A$101,0)),"SKU tidak ada di master"))</f>
        <v/>
      </c>
      <c r="F429" s="6"/>
      <c r="G429" s="12" t="str">
        <f>IF(D429="","",IFERROR(INDEX('Master Produk'!$C$2:$C$101,MATCH(D429,'Master Produk'!$A$2:$A$101,0)),0)+SUMIFS(F$1:F428,D$1:D428,D429))</f>
        <v/>
      </c>
      <c r="H429" s="12" t="str">
        <f t="shared" si="13"/>
        <v/>
      </c>
      <c r="I429" s="5"/>
      <c r="J429" s="5"/>
      <c r="K429" s="11" t="str">
        <f>IF(D429="","",IF(ISNA(MATCH(D429,'Master Produk'!$A$2:$A$101,0)),"SKU tidak ada di master",IF(AND(C429="Stok masuk",F429&lt;0),"Stok masuk harus +",IF(AND(C429="Stok keluar",F429&gt;0),"Stok keluar harus -",IF(H429&lt;0,"Stok negatif","OK")))))</f>
        <v/>
      </c>
    </row>
    <row r="430" spans="1:11" x14ac:dyDescent="0.3">
      <c r="A430" s="9" t="str">
        <f t="shared" si="12"/>
        <v/>
      </c>
      <c r="B430" s="10"/>
      <c r="C430" s="5"/>
      <c r="D430" s="5"/>
      <c r="E430" s="11" t="str">
        <f>IF(D430="","",IFERROR(INDEX('Master Produk'!$B$2:$B$101,MATCH(D430,'Master Produk'!$A$2:$A$101,0)),"SKU tidak ada di master"))</f>
        <v/>
      </c>
      <c r="F430" s="6"/>
      <c r="G430" s="12" t="str">
        <f>IF(D430="","",IFERROR(INDEX('Master Produk'!$C$2:$C$101,MATCH(D430,'Master Produk'!$A$2:$A$101,0)),0)+SUMIFS(F$1:F429,D$1:D429,D430))</f>
        <v/>
      </c>
      <c r="H430" s="12" t="str">
        <f t="shared" si="13"/>
        <v/>
      </c>
      <c r="I430" s="5"/>
      <c r="J430" s="5"/>
      <c r="K430" s="11" t="str">
        <f>IF(D430="","",IF(ISNA(MATCH(D430,'Master Produk'!$A$2:$A$101,0)),"SKU tidak ada di master",IF(AND(C430="Stok masuk",F430&lt;0),"Stok masuk harus +",IF(AND(C430="Stok keluar",F430&gt;0),"Stok keluar harus -",IF(H430&lt;0,"Stok negatif","OK")))))</f>
        <v/>
      </c>
    </row>
    <row r="431" spans="1:11" x14ac:dyDescent="0.3">
      <c r="A431" s="9" t="str">
        <f t="shared" si="12"/>
        <v/>
      </c>
      <c r="B431" s="10"/>
      <c r="C431" s="5"/>
      <c r="D431" s="5"/>
      <c r="E431" s="11" t="str">
        <f>IF(D431="","",IFERROR(INDEX('Master Produk'!$B$2:$B$101,MATCH(D431,'Master Produk'!$A$2:$A$101,0)),"SKU tidak ada di master"))</f>
        <v/>
      </c>
      <c r="F431" s="6"/>
      <c r="G431" s="12" t="str">
        <f>IF(D431="","",IFERROR(INDEX('Master Produk'!$C$2:$C$101,MATCH(D431,'Master Produk'!$A$2:$A$101,0)),0)+SUMIFS(F$1:F430,D$1:D430,D431))</f>
        <v/>
      </c>
      <c r="H431" s="12" t="str">
        <f t="shared" si="13"/>
        <v/>
      </c>
      <c r="I431" s="5"/>
      <c r="J431" s="5"/>
      <c r="K431" s="11" t="str">
        <f>IF(D431="","",IF(ISNA(MATCH(D431,'Master Produk'!$A$2:$A$101,0)),"SKU tidak ada di master",IF(AND(C431="Stok masuk",F431&lt;0),"Stok masuk harus +",IF(AND(C431="Stok keluar",F431&gt;0),"Stok keluar harus -",IF(H431&lt;0,"Stok negatif","OK")))))</f>
        <v/>
      </c>
    </row>
    <row r="432" spans="1:11" x14ac:dyDescent="0.3">
      <c r="A432" s="9" t="str">
        <f t="shared" si="12"/>
        <v/>
      </c>
      <c r="B432" s="10"/>
      <c r="C432" s="5"/>
      <c r="D432" s="5"/>
      <c r="E432" s="11" t="str">
        <f>IF(D432="","",IFERROR(INDEX('Master Produk'!$B$2:$B$101,MATCH(D432,'Master Produk'!$A$2:$A$101,0)),"SKU tidak ada di master"))</f>
        <v/>
      </c>
      <c r="F432" s="6"/>
      <c r="G432" s="12" t="str">
        <f>IF(D432="","",IFERROR(INDEX('Master Produk'!$C$2:$C$101,MATCH(D432,'Master Produk'!$A$2:$A$101,0)),0)+SUMIFS(F$1:F431,D$1:D431,D432))</f>
        <v/>
      </c>
      <c r="H432" s="12" t="str">
        <f t="shared" si="13"/>
        <v/>
      </c>
      <c r="I432" s="5"/>
      <c r="J432" s="5"/>
      <c r="K432" s="11" t="str">
        <f>IF(D432="","",IF(ISNA(MATCH(D432,'Master Produk'!$A$2:$A$101,0)),"SKU tidak ada di master",IF(AND(C432="Stok masuk",F432&lt;0),"Stok masuk harus +",IF(AND(C432="Stok keluar",F432&gt;0),"Stok keluar harus -",IF(H432&lt;0,"Stok negatif","OK")))))</f>
        <v/>
      </c>
    </row>
    <row r="433" spans="1:11" x14ac:dyDescent="0.3">
      <c r="A433" s="9" t="str">
        <f t="shared" si="12"/>
        <v/>
      </c>
      <c r="B433" s="10"/>
      <c r="C433" s="5"/>
      <c r="D433" s="5"/>
      <c r="E433" s="11" t="str">
        <f>IF(D433="","",IFERROR(INDEX('Master Produk'!$B$2:$B$101,MATCH(D433,'Master Produk'!$A$2:$A$101,0)),"SKU tidak ada di master"))</f>
        <v/>
      </c>
      <c r="F433" s="6"/>
      <c r="G433" s="12" t="str">
        <f>IF(D433="","",IFERROR(INDEX('Master Produk'!$C$2:$C$101,MATCH(D433,'Master Produk'!$A$2:$A$101,0)),0)+SUMIFS(F$1:F432,D$1:D432,D433))</f>
        <v/>
      </c>
      <c r="H433" s="12" t="str">
        <f t="shared" si="13"/>
        <v/>
      </c>
      <c r="I433" s="5"/>
      <c r="J433" s="5"/>
      <c r="K433" s="11" t="str">
        <f>IF(D433="","",IF(ISNA(MATCH(D433,'Master Produk'!$A$2:$A$101,0)),"SKU tidak ada di master",IF(AND(C433="Stok masuk",F433&lt;0),"Stok masuk harus +",IF(AND(C433="Stok keluar",F433&gt;0),"Stok keluar harus -",IF(H433&lt;0,"Stok negatif","OK")))))</f>
        <v/>
      </c>
    </row>
    <row r="434" spans="1:11" x14ac:dyDescent="0.3">
      <c r="A434" s="9" t="str">
        <f t="shared" si="12"/>
        <v/>
      </c>
      <c r="B434" s="10"/>
      <c r="C434" s="5"/>
      <c r="D434" s="5"/>
      <c r="E434" s="11" t="str">
        <f>IF(D434="","",IFERROR(INDEX('Master Produk'!$B$2:$B$101,MATCH(D434,'Master Produk'!$A$2:$A$101,0)),"SKU tidak ada di master"))</f>
        <v/>
      </c>
      <c r="F434" s="6"/>
      <c r="G434" s="12" t="str">
        <f>IF(D434="","",IFERROR(INDEX('Master Produk'!$C$2:$C$101,MATCH(D434,'Master Produk'!$A$2:$A$101,0)),0)+SUMIFS(F$1:F433,D$1:D433,D434))</f>
        <v/>
      </c>
      <c r="H434" s="12" t="str">
        <f t="shared" si="13"/>
        <v/>
      </c>
      <c r="I434" s="5"/>
      <c r="J434" s="5"/>
      <c r="K434" s="11" t="str">
        <f>IF(D434="","",IF(ISNA(MATCH(D434,'Master Produk'!$A$2:$A$101,0)),"SKU tidak ada di master",IF(AND(C434="Stok masuk",F434&lt;0),"Stok masuk harus +",IF(AND(C434="Stok keluar",F434&gt;0),"Stok keluar harus -",IF(H434&lt;0,"Stok negatif","OK")))))</f>
        <v/>
      </c>
    </row>
    <row r="435" spans="1:11" x14ac:dyDescent="0.3">
      <c r="A435" s="9" t="str">
        <f t="shared" si="12"/>
        <v/>
      </c>
      <c r="B435" s="10"/>
      <c r="C435" s="5"/>
      <c r="D435" s="5"/>
      <c r="E435" s="11" t="str">
        <f>IF(D435="","",IFERROR(INDEX('Master Produk'!$B$2:$B$101,MATCH(D435,'Master Produk'!$A$2:$A$101,0)),"SKU tidak ada di master"))</f>
        <v/>
      </c>
      <c r="F435" s="6"/>
      <c r="G435" s="12" t="str">
        <f>IF(D435="","",IFERROR(INDEX('Master Produk'!$C$2:$C$101,MATCH(D435,'Master Produk'!$A$2:$A$101,0)),0)+SUMIFS(F$1:F434,D$1:D434,D435))</f>
        <v/>
      </c>
      <c r="H435" s="12" t="str">
        <f t="shared" si="13"/>
        <v/>
      </c>
      <c r="I435" s="5"/>
      <c r="J435" s="5"/>
      <c r="K435" s="11" t="str">
        <f>IF(D435="","",IF(ISNA(MATCH(D435,'Master Produk'!$A$2:$A$101,0)),"SKU tidak ada di master",IF(AND(C435="Stok masuk",F435&lt;0),"Stok masuk harus +",IF(AND(C435="Stok keluar",F435&gt;0),"Stok keluar harus -",IF(H435&lt;0,"Stok negatif","OK")))))</f>
        <v/>
      </c>
    </row>
    <row r="436" spans="1:11" x14ac:dyDescent="0.3">
      <c r="A436" s="9" t="str">
        <f t="shared" si="12"/>
        <v/>
      </c>
      <c r="B436" s="10"/>
      <c r="C436" s="5"/>
      <c r="D436" s="5"/>
      <c r="E436" s="11" t="str">
        <f>IF(D436="","",IFERROR(INDEX('Master Produk'!$B$2:$B$101,MATCH(D436,'Master Produk'!$A$2:$A$101,0)),"SKU tidak ada di master"))</f>
        <v/>
      </c>
      <c r="F436" s="6"/>
      <c r="G436" s="12" t="str">
        <f>IF(D436="","",IFERROR(INDEX('Master Produk'!$C$2:$C$101,MATCH(D436,'Master Produk'!$A$2:$A$101,0)),0)+SUMIFS(F$1:F435,D$1:D435,D436))</f>
        <v/>
      </c>
      <c r="H436" s="12" t="str">
        <f t="shared" si="13"/>
        <v/>
      </c>
      <c r="I436" s="5"/>
      <c r="J436" s="5"/>
      <c r="K436" s="11" t="str">
        <f>IF(D436="","",IF(ISNA(MATCH(D436,'Master Produk'!$A$2:$A$101,0)),"SKU tidak ada di master",IF(AND(C436="Stok masuk",F436&lt;0),"Stok masuk harus +",IF(AND(C436="Stok keluar",F436&gt;0),"Stok keluar harus -",IF(H436&lt;0,"Stok negatif","OK")))))</f>
        <v/>
      </c>
    </row>
    <row r="437" spans="1:11" x14ac:dyDescent="0.3">
      <c r="A437" s="9" t="str">
        <f t="shared" si="12"/>
        <v/>
      </c>
      <c r="B437" s="10"/>
      <c r="C437" s="5"/>
      <c r="D437" s="5"/>
      <c r="E437" s="11" t="str">
        <f>IF(D437="","",IFERROR(INDEX('Master Produk'!$B$2:$B$101,MATCH(D437,'Master Produk'!$A$2:$A$101,0)),"SKU tidak ada di master"))</f>
        <v/>
      </c>
      <c r="F437" s="6"/>
      <c r="G437" s="12" t="str">
        <f>IF(D437="","",IFERROR(INDEX('Master Produk'!$C$2:$C$101,MATCH(D437,'Master Produk'!$A$2:$A$101,0)),0)+SUMIFS(F$1:F436,D$1:D436,D437))</f>
        <v/>
      </c>
      <c r="H437" s="12" t="str">
        <f t="shared" si="13"/>
        <v/>
      </c>
      <c r="I437" s="5"/>
      <c r="J437" s="5"/>
      <c r="K437" s="11" t="str">
        <f>IF(D437="","",IF(ISNA(MATCH(D437,'Master Produk'!$A$2:$A$101,0)),"SKU tidak ada di master",IF(AND(C437="Stok masuk",F437&lt;0),"Stok masuk harus +",IF(AND(C437="Stok keluar",F437&gt;0),"Stok keluar harus -",IF(H437&lt;0,"Stok negatif","OK")))))</f>
        <v/>
      </c>
    </row>
    <row r="438" spans="1:11" x14ac:dyDescent="0.3">
      <c r="A438" s="9" t="str">
        <f t="shared" si="12"/>
        <v/>
      </c>
      <c r="B438" s="10"/>
      <c r="C438" s="5"/>
      <c r="D438" s="5"/>
      <c r="E438" s="11" t="str">
        <f>IF(D438="","",IFERROR(INDEX('Master Produk'!$B$2:$B$101,MATCH(D438,'Master Produk'!$A$2:$A$101,0)),"SKU tidak ada di master"))</f>
        <v/>
      </c>
      <c r="F438" s="6"/>
      <c r="G438" s="12" t="str">
        <f>IF(D438="","",IFERROR(INDEX('Master Produk'!$C$2:$C$101,MATCH(D438,'Master Produk'!$A$2:$A$101,0)),0)+SUMIFS(F$1:F437,D$1:D437,D438))</f>
        <v/>
      </c>
      <c r="H438" s="12" t="str">
        <f t="shared" si="13"/>
        <v/>
      </c>
      <c r="I438" s="5"/>
      <c r="J438" s="5"/>
      <c r="K438" s="11" t="str">
        <f>IF(D438="","",IF(ISNA(MATCH(D438,'Master Produk'!$A$2:$A$101,0)),"SKU tidak ada di master",IF(AND(C438="Stok masuk",F438&lt;0),"Stok masuk harus +",IF(AND(C438="Stok keluar",F438&gt;0),"Stok keluar harus -",IF(H438&lt;0,"Stok negatif","OK")))))</f>
        <v/>
      </c>
    </row>
    <row r="439" spans="1:11" x14ac:dyDescent="0.3">
      <c r="A439" s="9" t="str">
        <f t="shared" si="12"/>
        <v/>
      </c>
      <c r="B439" s="10"/>
      <c r="C439" s="5"/>
      <c r="D439" s="5"/>
      <c r="E439" s="11" t="str">
        <f>IF(D439="","",IFERROR(INDEX('Master Produk'!$B$2:$B$101,MATCH(D439,'Master Produk'!$A$2:$A$101,0)),"SKU tidak ada di master"))</f>
        <v/>
      </c>
      <c r="F439" s="6"/>
      <c r="G439" s="12" t="str">
        <f>IF(D439="","",IFERROR(INDEX('Master Produk'!$C$2:$C$101,MATCH(D439,'Master Produk'!$A$2:$A$101,0)),0)+SUMIFS(F$1:F438,D$1:D438,D439))</f>
        <v/>
      </c>
      <c r="H439" s="12" t="str">
        <f t="shared" si="13"/>
        <v/>
      </c>
      <c r="I439" s="5"/>
      <c r="J439" s="5"/>
      <c r="K439" s="11" t="str">
        <f>IF(D439="","",IF(ISNA(MATCH(D439,'Master Produk'!$A$2:$A$101,0)),"SKU tidak ada di master",IF(AND(C439="Stok masuk",F439&lt;0),"Stok masuk harus +",IF(AND(C439="Stok keluar",F439&gt;0),"Stok keluar harus -",IF(H439&lt;0,"Stok negatif","OK")))))</f>
        <v/>
      </c>
    </row>
    <row r="440" spans="1:11" x14ac:dyDescent="0.3">
      <c r="A440" s="9" t="str">
        <f t="shared" si="12"/>
        <v/>
      </c>
      <c r="B440" s="10"/>
      <c r="C440" s="5"/>
      <c r="D440" s="5"/>
      <c r="E440" s="11" t="str">
        <f>IF(D440="","",IFERROR(INDEX('Master Produk'!$B$2:$B$101,MATCH(D440,'Master Produk'!$A$2:$A$101,0)),"SKU tidak ada di master"))</f>
        <v/>
      </c>
      <c r="F440" s="6"/>
      <c r="G440" s="12" t="str">
        <f>IF(D440="","",IFERROR(INDEX('Master Produk'!$C$2:$C$101,MATCH(D440,'Master Produk'!$A$2:$A$101,0)),0)+SUMIFS(F$1:F439,D$1:D439,D440))</f>
        <v/>
      </c>
      <c r="H440" s="12" t="str">
        <f t="shared" si="13"/>
        <v/>
      </c>
      <c r="I440" s="5"/>
      <c r="J440" s="5"/>
      <c r="K440" s="11" t="str">
        <f>IF(D440="","",IF(ISNA(MATCH(D440,'Master Produk'!$A$2:$A$101,0)),"SKU tidak ada di master",IF(AND(C440="Stok masuk",F440&lt;0),"Stok masuk harus +",IF(AND(C440="Stok keluar",F440&gt;0),"Stok keluar harus -",IF(H440&lt;0,"Stok negatif","OK")))))</f>
        <v/>
      </c>
    </row>
    <row r="441" spans="1:11" x14ac:dyDescent="0.3">
      <c r="A441" s="9" t="str">
        <f t="shared" si="12"/>
        <v/>
      </c>
      <c r="B441" s="10"/>
      <c r="C441" s="5"/>
      <c r="D441" s="5"/>
      <c r="E441" s="11" t="str">
        <f>IF(D441="","",IFERROR(INDEX('Master Produk'!$B$2:$B$101,MATCH(D441,'Master Produk'!$A$2:$A$101,0)),"SKU tidak ada di master"))</f>
        <v/>
      </c>
      <c r="F441" s="6"/>
      <c r="G441" s="12" t="str">
        <f>IF(D441="","",IFERROR(INDEX('Master Produk'!$C$2:$C$101,MATCH(D441,'Master Produk'!$A$2:$A$101,0)),0)+SUMIFS(F$1:F440,D$1:D440,D441))</f>
        <v/>
      </c>
      <c r="H441" s="12" t="str">
        <f t="shared" si="13"/>
        <v/>
      </c>
      <c r="I441" s="5"/>
      <c r="J441" s="5"/>
      <c r="K441" s="11" t="str">
        <f>IF(D441="","",IF(ISNA(MATCH(D441,'Master Produk'!$A$2:$A$101,0)),"SKU tidak ada di master",IF(AND(C441="Stok masuk",F441&lt;0),"Stok masuk harus +",IF(AND(C441="Stok keluar",F441&gt;0),"Stok keluar harus -",IF(H441&lt;0,"Stok negatif","OK")))))</f>
        <v/>
      </c>
    </row>
    <row r="442" spans="1:11" x14ac:dyDescent="0.3">
      <c r="A442" s="9" t="str">
        <f t="shared" si="12"/>
        <v/>
      </c>
      <c r="B442" s="10"/>
      <c r="C442" s="5"/>
      <c r="D442" s="5"/>
      <c r="E442" s="11" t="str">
        <f>IF(D442="","",IFERROR(INDEX('Master Produk'!$B$2:$B$101,MATCH(D442,'Master Produk'!$A$2:$A$101,0)),"SKU tidak ada di master"))</f>
        <v/>
      </c>
      <c r="F442" s="6"/>
      <c r="G442" s="12" t="str">
        <f>IF(D442="","",IFERROR(INDEX('Master Produk'!$C$2:$C$101,MATCH(D442,'Master Produk'!$A$2:$A$101,0)),0)+SUMIFS(F$1:F441,D$1:D441,D442))</f>
        <v/>
      </c>
      <c r="H442" s="12" t="str">
        <f t="shared" si="13"/>
        <v/>
      </c>
      <c r="I442" s="5"/>
      <c r="J442" s="5"/>
      <c r="K442" s="11" t="str">
        <f>IF(D442="","",IF(ISNA(MATCH(D442,'Master Produk'!$A$2:$A$101,0)),"SKU tidak ada di master",IF(AND(C442="Stok masuk",F442&lt;0),"Stok masuk harus +",IF(AND(C442="Stok keluar",F442&gt;0),"Stok keluar harus -",IF(H442&lt;0,"Stok negatif","OK")))))</f>
        <v/>
      </c>
    </row>
    <row r="443" spans="1:11" x14ac:dyDescent="0.3">
      <c r="A443" s="9" t="str">
        <f t="shared" si="12"/>
        <v/>
      </c>
      <c r="B443" s="10"/>
      <c r="C443" s="5"/>
      <c r="D443" s="5"/>
      <c r="E443" s="11" t="str">
        <f>IF(D443="","",IFERROR(INDEX('Master Produk'!$B$2:$B$101,MATCH(D443,'Master Produk'!$A$2:$A$101,0)),"SKU tidak ada di master"))</f>
        <v/>
      </c>
      <c r="F443" s="6"/>
      <c r="G443" s="12" t="str">
        <f>IF(D443="","",IFERROR(INDEX('Master Produk'!$C$2:$C$101,MATCH(D443,'Master Produk'!$A$2:$A$101,0)),0)+SUMIFS(F$1:F442,D$1:D442,D443))</f>
        <v/>
      </c>
      <c r="H443" s="12" t="str">
        <f t="shared" si="13"/>
        <v/>
      </c>
      <c r="I443" s="5"/>
      <c r="J443" s="5"/>
      <c r="K443" s="11" t="str">
        <f>IF(D443="","",IF(ISNA(MATCH(D443,'Master Produk'!$A$2:$A$101,0)),"SKU tidak ada di master",IF(AND(C443="Stok masuk",F443&lt;0),"Stok masuk harus +",IF(AND(C443="Stok keluar",F443&gt;0),"Stok keluar harus -",IF(H443&lt;0,"Stok negatif","OK")))))</f>
        <v/>
      </c>
    </row>
    <row r="444" spans="1:11" x14ac:dyDescent="0.3">
      <c r="A444" s="9" t="str">
        <f t="shared" si="12"/>
        <v/>
      </c>
      <c r="B444" s="10"/>
      <c r="C444" s="5"/>
      <c r="D444" s="5"/>
      <c r="E444" s="11" t="str">
        <f>IF(D444="","",IFERROR(INDEX('Master Produk'!$B$2:$B$101,MATCH(D444,'Master Produk'!$A$2:$A$101,0)),"SKU tidak ada di master"))</f>
        <v/>
      </c>
      <c r="F444" s="6"/>
      <c r="G444" s="12" t="str">
        <f>IF(D444="","",IFERROR(INDEX('Master Produk'!$C$2:$C$101,MATCH(D444,'Master Produk'!$A$2:$A$101,0)),0)+SUMIFS(F$1:F443,D$1:D443,D444))</f>
        <v/>
      </c>
      <c r="H444" s="12" t="str">
        <f t="shared" si="13"/>
        <v/>
      </c>
      <c r="I444" s="5"/>
      <c r="J444" s="5"/>
      <c r="K444" s="11" t="str">
        <f>IF(D444="","",IF(ISNA(MATCH(D444,'Master Produk'!$A$2:$A$101,0)),"SKU tidak ada di master",IF(AND(C444="Stok masuk",F444&lt;0),"Stok masuk harus +",IF(AND(C444="Stok keluar",F444&gt;0),"Stok keluar harus -",IF(H444&lt;0,"Stok negatif","OK")))))</f>
        <v/>
      </c>
    </row>
    <row r="445" spans="1:11" x14ac:dyDescent="0.3">
      <c r="A445" s="9" t="str">
        <f t="shared" si="12"/>
        <v/>
      </c>
      <c r="B445" s="10"/>
      <c r="C445" s="5"/>
      <c r="D445" s="5"/>
      <c r="E445" s="11" t="str">
        <f>IF(D445="","",IFERROR(INDEX('Master Produk'!$B$2:$B$101,MATCH(D445,'Master Produk'!$A$2:$A$101,0)),"SKU tidak ada di master"))</f>
        <v/>
      </c>
      <c r="F445" s="6"/>
      <c r="G445" s="12" t="str">
        <f>IF(D445="","",IFERROR(INDEX('Master Produk'!$C$2:$C$101,MATCH(D445,'Master Produk'!$A$2:$A$101,0)),0)+SUMIFS(F$1:F444,D$1:D444,D445))</f>
        <v/>
      </c>
      <c r="H445" s="12" t="str">
        <f t="shared" si="13"/>
        <v/>
      </c>
      <c r="I445" s="5"/>
      <c r="J445" s="5"/>
      <c r="K445" s="11" t="str">
        <f>IF(D445="","",IF(ISNA(MATCH(D445,'Master Produk'!$A$2:$A$101,0)),"SKU tidak ada di master",IF(AND(C445="Stok masuk",F445&lt;0),"Stok masuk harus +",IF(AND(C445="Stok keluar",F445&gt;0),"Stok keluar harus -",IF(H445&lt;0,"Stok negatif","OK")))))</f>
        <v/>
      </c>
    </row>
    <row r="446" spans="1:11" x14ac:dyDescent="0.3">
      <c r="A446" s="9" t="str">
        <f t="shared" si="12"/>
        <v/>
      </c>
      <c r="B446" s="10"/>
      <c r="C446" s="5"/>
      <c r="D446" s="5"/>
      <c r="E446" s="11" t="str">
        <f>IF(D446="","",IFERROR(INDEX('Master Produk'!$B$2:$B$101,MATCH(D446,'Master Produk'!$A$2:$A$101,0)),"SKU tidak ada di master"))</f>
        <v/>
      </c>
      <c r="F446" s="6"/>
      <c r="G446" s="12" t="str">
        <f>IF(D446="","",IFERROR(INDEX('Master Produk'!$C$2:$C$101,MATCH(D446,'Master Produk'!$A$2:$A$101,0)),0)+SUMIFS(F$1:F445,D$1:D445,D446))</f>
        <v/>
      </c>
      <c r="H446" s="12" t="str">
        <f t="shared" si="13"/>
        <v/>
      </c>
      <c r="I446" s="5"/>
      <c r="J446" s="5"/>
      <c r="K446" s="11" t="str">
        <f>IF(D446="","",IF(ISNA(MATCH(D446,'Master Produk'!$A$2:$A$101,0)),"SKU tidak ada di master",IF(AND(C446="Stok masuk",F446&lt;0),"Stok masuk harus +",IF(AND(C446="Stok keluar",F446&gt;0),"Stok keluar harus -",IF(H446&lt;0,"Stok negatif","OK")))))</f>
        <v/>
      </c>
    </row>
    <row r="447" spans="1:11" x14ac:dyDescent="0.3">
      <c r="A447" s="9" t="str">
        <f t="shared" si="12"/>
        <v/>
      </c>
      <c r="B447" s="10"/>
      <c r="C447" s="5"/>
      <c r="D447" s="5"/>
      <c r="E447" s="11" t="str">
        <f>IF(D447="","",IFERROR(INDEX('Master Produk'!$B$2:$B$101,MATCH(D447,'Master Produk'!$A$2:$A$101,0)),"SKU tidak ada di master"))</f>
        <v/>
      </c>
      <c r="F447" s="6"/>
      <c r="G447" s="12" t="str">
        <f>IF(D447="","",IFERROR(INDEX('Master Produk'!$C$2:$C$101,MATCH(D447,'Master Produk'!$A$2:$A$101,0)),0)+SUMIFS(F$1:F446,D$1:D446,D447))</f>
        <v/>
      </c>
      <c r="H447" s="12" t="str">
        <f t="shared" si="13"/>
        <v/>
      </c>
      <c r="I447" s="5"/>
      <c r="J447" s="5"/>
      <c r="K447" s="11" t="str">
        <f>IF(D447="","",IF(ISNA(MATCH(D447,'Master Produk'!$A$2:$A$101,0)),"SKU tidak ada di master",IF(AND(C447="Stok masuk",F447&lt;0),"Stok masuk harus +",IF(AND(C447="Stok keluar",F447&gt;0),"Stok keluar harus -",IF(H447&lt;0,"Stok negatif","OK")))))</f>
        <v/>
      </c>
    </row>
    <row r="448" spans="1:11" x14ac:dyDescent="0.3">
      <c r="A448" s="9" t="str">
        <f t="shared" si="12"/>
        <v/>
      </c>
      <c r="B448" s="10"/>
      <c r="C448" s="5"/>
      <c r="D448" s="5"/>
      <c r="E448" s="11" t="str">
        <f>IF(D448="","",IFERROR(INDEX('Master Produk'!$B$2:$B$101,MATCH(D448,'Master Produk'!$A$2:$A$101,0)),"SKU tidak ada di master"))</f>
        <v/>
      </c>
      <c r="F448" s="6"/>
      <c r="G448" s="12" t="str">
        <f>IF(D448="","",IFERROR(INDEX('Master Produk'!$C$2:$C$101,MATCH(D448,'Master Produk'!$A$2:$A$101,0)),0)+SUMIFS(F$1:F447,D$1:D447,D448))</f>
        <v/>
      </c>
      <c r="H448" s="12" t="str">
        <f t="shared" si="13"/>
        <v/>
      </c>
      <c r="I448" s="5"/>
      <c r="J448" s="5"/>
      <c r="K448" s="11" t="str">
        <f>IF(D448="","",IF(ISNA(MATCH(D448,'Master Produk'!$A$2:$A$101,0)),"SKU tidak ada di master",IF(AND(C448="Stok masuk",F448&lt;0),"Stok masuk harus +",IF(AND(C448="Stok keluar",F448&gt;0),"Stok keluar harus -",IF(H448&lt;0,"Stok negatif","OK")))))</f>
        <v/>
      </c>
    </row>
    <row r="449" spans="1:11" x14ac:dyDescent="0.3">
      <c r="A449" s="9" t="str">
        <f t="shared" si="12"/>
        <v/>
      </c>
      <c r="B449" s="10"/>
      <c r="C449" s="5"/>
      <c r="D449" s="5"/>
      <c r="E449" s="11" t="str">
        <f>IF(D449="","",IFERROR(INDEX('Master Produk'!$B$2:$B$101,MATCH(D449,'Master Produk'!$A$2:$A$101,0)),"SKU tidak ada di master"))</f>
        <v/>
      </c>
      <c r="F449" s="6"/>
      <c r="G449" s="12" t="str">
        <f>IF(D449="","",IFERROR(INDEX('Master Produk'!$C$2:$C$101,MATCH(D449,'Master Produk'!$A$2:$A$101,0)),0)+SUMIFS(F$1:F448,D$1:D448,D449))</f>
        <v/>
      </c>
      <c r="H449" s="12" t="str">
        <f t="shared" si="13"/>
        <v/>
      </c>
      <c r="I449" s="5"/>
      <c r="J449" s="5"/>
      <c r="K449" s="11" t="str">
        <f>IF(D449="","",IF(ISNA(MATCH(D449,'Master Produk'!$A$2:$A$101,0)),"SKU tidak ada di master",IF(AND(C449="Stok masuk",F449&lt;0),"Stok masuk harus +",IF(AND(C449="Stok keluar",F449&gt;0),"Stok keluar harus -",IF(H449&lt;0,"Stok negatif","OK")))))</f>
        <v/>
      </c>
    </row>
    <row r="450" spans="1:11" x14ac:dyDescent="0.3">
      <c r="A450" s="9" t="str">
        <f t="shared" ref="A450:A513" si="14">IF(D450="","",ROW()-1)</f>
        <v/>
      </c>
      <c r="B450" s="10"/>
      <c r="C450" s="5"/>
      <c r="D450" s="5"/>
      <c r="E450" s="11" t="str">
        <f>IF(D450="","",IFERROR(INDEX('Master Produk'!$B$2:$B$101,MATCH(D450,'Master Produk'!$A$2:$A$101,0)),"SKU tidak ada di master"))</f>
        <v/>
      </c>
      <c r="F450" s="6"/>
      <c r="G450" s="12" t="str">
        <f>IF(D450="","",IFERROR(INDEX('Master Produk'!$C$2:$C$101,MATCH(D450,'Master Produk'!$A$2:$A$101,0)),0)+SUMIFS(F$1:F449,D$1:D449,D450))</f>
        <v/>
      </c>
      <c r="H450" s="12" t="str">
        <f t="shared" ref="H450:H513" si="15">IF(D450="","",G450+F450)</f>
        <v/>
      </c>
      <c r="I450" s="5"/>
      <c r="J450" s="5"/>
      <c r="K450" s="11" t="str">
        <f>IF(D450="","",IF(ISNA(MATCH(D450,'Master Produk'!$A$2:$A$101,0)),"SKU tidak ada di master",IF(AND(C450="Stok masuk",F450&lt;0),"Stok masuk harus +",IF(AND(C450="Stok keluar",F450&gt;0),"Stok keluar harus -",IF(H450&lt;0,"Stok negatif","OK")))))</f>
        <v/>
      </c>
    </row>
    <row r="451" spans="1:11" x14ac:dyDescent="0.3">
      <c r="A451" s="9" t="str">
        <f t="shared" si="14"/>
        <v/>
      </c>
      <c r="B451" s="10"/>
      <c r="C451" s="5"/>
      <c r="D451" s="5"/>
      <c r="E451" s="11" t="str">
        <f>IF(D451="","",IFERROR(INDEX('Master Produk'!$B$2:$B$101,MATCH(D451,'Master Produk'!$A$2:$A$101,0)),"SKU tidak ada di master"))</f>
        <v/>
      </c>
      <c r="F451" s="6"/>
      <c r="G451" s="12" t="str">
        <f>IF(D451="","",IFERROR(INDEX('Master Produk'!$C$2:$C$101,MATCH(D451,'Master Produk'!$A$2:$A$101,0)),0)+SUMIFS(F$1:F450,D$1:D450,D451))</f>
        <v/>
      </c>
      <c r="H451" s="12" t="str">
        <f t="shared" si="15"/>
        <v/>
      </c>
      <c r="I451" s="5"/>
      <c r="J451" s="5"/>
      <c r="K451" s="11" t="str">
        <f>IF(D451="","",IF(ISNA(MATCH(D451,'Master Produk'!$A$2:$A$101,0)),"SKU tidak ada di master",IF(AND(C451="Stok masuk",F451&lt;0),"Stok masuk harus +",IF(AND(C451="Stok keluar",F451&gt;0),"Stok keluar harus -",IF(H451&lt;0,"Stok negatif","OK")))))</f>
        <v/>
      </c>
    </row>
    <row r="452" spans="1:11" x14ac:dyDescent="0.3">
      <c r="A452" s="9" t="str">
        <f t="shared" si="14"/>
        <v/>
      </c>
      <c r="B452" s="10"/>
      <c r="C452" s="5"/>
      <c r="D452" s="5"/>
      <c r="E452" s="11" t="str">
        <f>IF(D452="","",IFERROR(INDEX('Master Produk'!$B$2:$B$101,MATCH(D452,'Master Produk'!$A$2:$A$101,0)),"SKU tidak ada di master"))</f>
        <v/>
      </c>
      <c r="F452" s="6"/>
      <c r="G452" s="12" t="str">
        <f>IF(D452="","",IFERROR(INDEX('Master Produk'!$C$2:$C$101,MATCH(D452,'Master Produk'!$A$2:$A$101,0)),0)+SUMIFS(F$1:F451,D$1:D451,D452))</f>
        <v/>
      </c>
      <c r="H452" s="12" t="str">
        <f t="shared" si="15"/>
        <v/>
      </c>
      <c r="I452" s="5"/>
      <c r="J452" s="5"/>
      <c r="K452" s="11" t="str">
        <f>IF(D452="","",IF(ISNA(MATCH(D452,'Master Produk'!$A$2:$A$101,0)),"SKU tidak ada di master",IF(AND(C452="Stok masuk",F452&lt;0),"Stok masuk harus +",IF(AND(C452="Stok keluar",F452&gt;0),"Stok keluar harus -",IF(H452&lt;0,"Stok negatif","OK")))))</f>
        <v/>
      </c>
    </row>
    <row r="453" spans="1:11" x14ac:dyDescent="0.3">
      <c r="A453" s="9" t="str">
        <f t="shared" si="14"/>
        <v/>
      </c>
      <c r="B453" s="10"/>
      <c r="C453" s="5"/>
      <c r="D453" s="5"/>
      <c r="E453" s="11" t="str">
        <f>IF(D453="","",IFERROR(INDEX('Master Produk'!$B$2:$B$101,MATCH(D453,'Master Produk'!$A$2:$A$101,0)),"SKU tidak ada di master"))</f>
        <v/>
      </c>
      <c r="F453" s="6"/>
      <c r="G453" s="12" t="str">
        <f>IF(D453="","",IFERROR(INDEX('Master Produk'!$C$2:$C$101,MATCH(D453,'Master Produk'!$A$2:$A$101,0)),0)+SUMIFS(F$1:F452,D$1:D452,D453))</f>
        <v/>
      </c>
      <c r="H453" s="12" t="str">
        <f t="shared" si="15"/>
        <v/>
      </c>
      <c r="I453" s="5"/>
      <c r="J453" s="5"/>
      <c r="K453" s="11" t="str">
        <f>IF(D453="","",IF(ISNA(MATCH(D453,'Master Produk'!$A$2:$A$101,0)),"SKU tidak ada di master",IF(AND(C453="Stok masuk",F453&lt;0),"Stok masuk harus +",IF(AND(C453="Stok keluar",F453&gt;0),"Stok keluar harus -",IF(H453&lt;0,"Stok negatif","OK")))))</f>
        <v/>
      </c>
    </row>
    <row r="454" spans="1:11" x14ac:dyDescent="0.3">
      <c r="A454" s="9" t="str">
        <f t="shared" si="14"/>
        <v/>
      </c>
      <c r="B454" s="10"/>
      <c r="C454" s="5"/>
      <c r="D454" s="5"/>
      <c r="E454" s="11" t="str">
        <f>IF(D454="","",IFERROR(INDEX('Master Produk'!$B$2:$B$101,MATCH(D454,'Master Produk'!$A$2:$A$101,0)),"SKU tidak ada di master"))</f>
        <v/>
      </c>
      <c r="F454" s="6"/>
      <c r="G454" s="12" t="str">
        <f>IF(D454="","",IFERROR(INDEX('Master Produk'!$C$2:$C$101,MATCH(D454,'Master Produk'!$A$2:$A$101,0)),0)+SUMIFS(F$1:F453,D$1:D453,D454))</f>
        <v/>
      </c>
      <c r="H454" s="12" t="str">
        <f t="shared" si="15"/>
        <v/>
      </c>
      <c r="I454" s="5"/>
      <c r="J454" s="5"/>
      <c r="K454" s="11" t="str">
        <f>IF(D454="","",IF(ISNA(MATCH(D454,'Master Produk'!$A$2:$A$101,0)),"SKU tidak ada di master",IF(AND(C454="Stok masuk",F454&lt;0),"Stok masuk harus +",IF(AND(C454="Stok keluar",F454&gt;0),"Stok keluar harus -",IF(H454&lt;0,"Stok negatif","OK")))))</f>
        <v/>
      </c>
    </row>
    <row r="455" spans="1:11" x14ac:dyDescent="0.3">
      <c r="A455" s="9" t="str">
        <f t="shared" si="14"/>
        <v/>
      </c>
      <c r="B455" s="10"/>
      <c r="C455" s="5"/>
      <c r="D455" s="5"/>
      <c r="E455" s="11" t="str">
        <f>IF(D455="","",IFERROR(INDEX('Master Produk'!$B$2:$B$101,MATCH(D455,'Master Produk'!$A$2:$A$101,0)),"SKU tidak ada di master"))</f>
        <v/>
      </c>
      <c r="F455" s="6"/>
      <c r="G455" s="12" t="str">
        <f>IF(D455="","",IFERROR(INDEX('Master Produk'!$C$2:$C$101,MATCH(D455,'Master Produk'!$A$2:$A$101,0)),0)+SUMIFS(F$1:F454,D$1:D454,D455))</f>
        <v/>
      </c>
      <c r="H455" s="12" t="str">
        <f t="shared" si="15"/>
        <v/>
      </c>
      <c r="I455" s="5"/>
      <c r="J455" s="5"/>
      <c r="K455" s="11" t="str">
        <f>IF(D455="","",IF(ISNA(MATCH(D455,'Master Produk'!$A$2:$A$101,0)),"SKU tidak ada di master",IF(AND(C455="Stok masuk",F455&lt;0),"Stok masuk harus +",IF(AND(C455="Stok keluar",F455&gt;0),"Stok keluar harus -",IF(H455&lt;0,"Stok negatif","OK")))))</f>
        <v/>
      </c>
    </row>
    <row r="456" spans="1:11" x14ac:dyDescent="0.3">
      <c r="A456" s="9" t="str">
        <f t="shared" si="14"/>
        <v/>
      </c>
      <c r="B456" s="10"/>
      <c r="C456" s="5"/>
      <c r="D456" s="5"/>
      <c r="E456" s="11" t="str">
        <f>IF(D456="","",IFERROR(INDEX('Master Produk'!$B$2:$B$101,MATCH(D456,'Master Produk'!$A$2:$A$101,0)),"SKU tidak ada di master"))</f>
        <v/>
      </c>
      <c r="F456" s="6"/>
      <c r="G456" s="12" t="str">
        <f>IF(D456="","",IFERROR(INDEX('Master Produk'!$C$2:$C$101,MATCH(D456,'Master Produk'!$A$2:$A$101,0)),0)+SUMIFS(F$1:F455,D$1:D455,D456))</f>
        <v/>
      </c>
      <c r="H456" s="12" t="str">
        <f t="shared" si="15"/>
        <v/>
      </c>
      <c r="I456" s="5"/>
      <c r="J456" s="5"/>
      <c r="K456" s="11" t="str">
        <f>IF(D456="","",IF(ISNA(MATCH(D456,'Master Produk'!$A$2:$A$101,0)),"SKU tidak ada di master",IF(AND(C456="Stok masuk",F456&lt;0),"Stok masuk harus +",IF(AND(C456="Stok keluar",F456&gt;0),"Stok keluar harus -",IF(H456&lt;0,"Stok negatif","OK")))))</f>
        <v/>
      </c>
    </row>
    <row r="457" spans="1:11" x14ac:dyDescent="0.3">
      <c r="A457" s="9" t="str">
        <f t="shared" si="14"/>
        <v/>
      </c>
      <c r="B457" s="10"/>
      <c r="C457" s="5"/>
      <c r="D457" s="5"/>
      <c r="E457" s="11" t="str">
        <f>IF(D457="","",IFERROR(INDEX('Master Produk'!$B$2:$B$101,MATCH(D457,'Master Produk'!$A$2:$A$101,0)),"SKU tidak ada di master"))</f>
        <v/>
      </c>
      <c r="F457" s="6"/>
      <c r="G457" s="12" t="str">
        <f>IF(D457="","",IFERROR(INDEX('Master Produk'!$C$2:$C$101,MATCH(D457,'Master Produk'!$A$2:$A$101,0)),0)+SUMIFS(F$1:F456,D$1:D456,D457))</f>
        <v/>
      </c>
      <c r="H457" s="12" t="str">
        <f t="shared" si="15"/>
        <v/>
      </c>
      <c r="I457" s="5"/>
      <c r="J457" s="5"/>
      <c r="K457" s="11" t="str">
        <f>IF(D457="","",IF(ISNA(MATCH(D457,'Master Produk'!$A$2:$A$101,0)),"SKU tidak ada di master",IF(AND(C457="Stok masuk",F457&lt;0),"Stok masuk harus +",IF(AND(C457="Stok keluar",F457&gt;0),"Stok keluar harus -",IF(H457&lt;0,"Stok negatif","OK")))))</f>
        <v/>
      </c>
    </row>
    <row r="458" spans="1:11" x14ac:dyDescent="0.3">
      <c r="A458" s="9" t="str">
        <f t="shared" si="14"/>
        <v/>
      </c>
      <c r="B458" s="10"/>
      <c r="C458" s="5"/>
      <c r="D458" s="5"/>
      <c r="E458" s="11" t="str">
        <f>IF(D458="","",IFERROR(INDEX('Master Produk'!$B$2:$B$101,MATCH(D458,'Master Produk'!$A$2:$A$101,0)),"SKU tidak ada di master"))</f>
        <v/>
      </c>
      <c r="F458" s="6"/>
      <c r="G458" s="12" t="str">
        <f>IF(D458="","",IFERROR(INDEX('Master Produk'!$C$2:$C$101,MATCH(D458,'Master Produk'!$A$2:$A$101,0)),0)+SUMIFS(F$1:F457,D$1:D457,D458))</f>
        <v/>
      </c>
      <c r="H458" s="12" t="str">
        <f t="shared" si="15"/>
        <v/>
      </c>
      <c r="I458" s="5"/>
      <c r="J458" s="5"/>
      <c r="K458" s="11" t="str">
        <f>IF(D458="","",IF(ISNA(MATCH(D458,'Master Produk'!$A$2:$A$101,0)),"SKU tidak ada di master",IF(AND(C458="Stok masuk",F458&lt;0),"Stok masuk harus +",IF(AND(C458="Stok keluar",F458&gt;0),"Stok keluar harus -",IF(H458&lt;0,"Stok negatif","OK")))))</f>
        <v/>
      </c>
    </row>
    <row r="459" spans="1:11" x14ac:dyDescent="0.3">
      <c r="A459" s="9" t="str">
        <f t="shared" si="14"/>
        <v/>
      </c>
      <c r="B459" s="10"/>
      <c r="C459" s="5"/>
      <c r="D459" s="5"/>
      <c r="E459" s="11" t="str">
        <f>IF(D459="","",IFERROR(INDEX('Master Produk'!$B$2:$B$101,MATCH(D459,'Master Produk'!$A$2:$A$101,0)),"SKU tidak ada di master"))</f>
        <v/>
      </c>
      <c r="F459" s="6"/>
      <c r="G459" s="12" t="str">
        <f>IF(D459="","",IFERROR(INDEX('Master Produk'!$C$2:$C$101,MATCH(D459,'Master Produk'!$A$2:$A$101,0)),0)+SUMIFS(F$1:F458,D$1:D458,D459))</f>
        <v/>
      </c>
      <c r="H459" s="12" t="str">
        <f t="shared" si="15"/>
        <v/>
      </c>
      <c r="I459" s="5"/>
      <c r="J459" s="5"/>
      <c r="K459" s="11" t="str">
        <f>IF(D459="","",IF(ISNA(MATCH(D459,'Master Produk'!$A$2:$A$101,0)),"SKU tidak ada di master",IF(AND(C459="Stok masuk",F459&lt;0),"Stok masuk harus +",IF(AND(C459="Stok keluar",F459&gt;0),"Stok keluar harus -",IF(H459&lt;0,"Stok negatif","OK")))))</f>
        <v/>
      </c>
    </row>
    <row r="460" spans="1:11" x14ac:dyDescent="0.3">
      <c r="A460" s="9" t="str">
        <f t="shared" si="14"/>
        <v/>
      </c>
      <c r="B460" s="10"/>
      <c r="C460" s="5"/>
      <c r="D460" s="5"/>
      <c r="E460" s="11" t="str">
        <f>IF(D460="","",IFERROR(INDEX('Master Produk'!$B$2:$B$101,MATCH(D460,'Master Produk'!$A$2:$A$101,0)),"SKU tidak ada di master"))</f>
        <v/>
      </c>
      <c r="F460" s="6"/>
      <c r="G460" s="12" t="str">
        <f>IF(D460="","",IFERROR(INDEX('Master Produk'!$C$2:$C$101,MATCH(D460,'Master Produk'!$A$2:$A$101,0)),0)+SUMIFS(F$1:F459,D$1:D459,D460))</f>
        <v/>
      </c>
      <c r="H460" s="12" t="str">
        <f t="shared" si="15"/>
        <v/>
      </c>
      <c r="I460" s="5"/>
      <c r="J460" s="5"/>
      <c r="K460" s="11" t="str">
        <f>IF(D460="","",IF(ISNA(MATCH(D460,'Master Produk'!$A$2:$A$101,0)),"SKU tidak ada di master",IF(AND(C460="Stok masuk",F460&lt;0),"Stok masuk harus +",IF(AND(C460="Stok keluar",F460&gt;0),"Stok keluar harus -",IF(H460&lt;0,"Stok negatif","OK")))))</f>
        <v/>
      </c>
    </row>
    <row r="461" spans="1:11" x14ac:dyDescent="0.3">
      <c r="A461" s="9" t="str">
        <f t="shared" si="14"/>
        <v/>
      </c>
      <c r="B461" s="10"/>
      <c r="C461" s="5"/>
      <c r="D461" s="5"/>
      <c r="E461" s="11" t="str">
        <f>IF(D461="","",IFERROR(INDEX('Master Produk'!$B$2:$B$101,MATCH(D461,'Master Produk'!$A$2:$A$101,0)),"SKU tidak ada di master"))</f>
        <v/>
      </c>
      <c r="F461" s="6"/>
      <c r="G461" s="12" t="str">
        <f>IF(D461="","",IFERROR(INDEX('Master Produk'!$C$2:$C$101,MATCH(D461,'Master Produk'!$A$2:$A$101,0)),0)+SUMIFS(F$1:F460,D$1:D460,D461))</f>
        <v/>
      </c>
      <c r="H461" s="12" t="str">
        <f t="shared" si="15"/>
        <v/>
      </c>
      <c r="I461" s="5"/>
      <c r="J461" s="5"/>
      <c r="K461" s="11" t="str">
        <f>IF(D461="","",IF(ISNA(MATCH(D461,'Master Produk'!$A$2:$A$101,0)),"SKU tidak ada di master",IF(AND(C461="Stok masuk",F461&lt;0),"Stok masuk harus +",IF(AND(C461="Stok keluar",F461&gt;0),"Stok keluar harus -",IF(H461&lt;0,"Stok negatif","OK")))))</f>
        <v/>
      </c>
    </row>
    <row r="462" spans="1:11" x14ac:dyDescent="0.3">
      <c r="A462" s="9" t="str">
        <f t="shared" si="14"/>
        <v/>
      </c>
      <c r="B462" s="10"/>
      <c r="C462" s="5"/>
      <c r="D462" s="5"/>
      <c r="E462" s="11" t="str">
        <f>IF(D462="","",IFERROR(INDEX('Master Produk'!$B$2:$B$101,MATCH(D462,'Master Produk'!$A$2:$A$101,0)),"SKU tidak ada di master"))</f>
        <v/>
      </c>
      <c r="F462" s="6"/>
      <c r="G462" s="12" t="str">
        <f>IF(D462="","",IFERROR(INDEX('Master Produk'!$C$2:$C$101,MATCH(D462,'Master Produk'!$A$2:$A$101,0)),0)+SUMIFS(F$1:F461,D$1:D461,D462))</f>
        <v/>
      </c>
      <c r="H462" s="12" t="str">
        <f t="shared" si="15"/>
        <v/>
      </c>
      <c r="I462" s="5"/>
      <c r="J462" s="5"/>
      <c r="K462" s="11" t="str">
        <f>IF(D462="","",IF(ISNA(MATCH(D462,'Master Produk'!$A$2:$A$101,0)),"SKU tidak ada di master",IF(AND(C462="Stok masuk",F462&lt;0),"Stok masuk harus +",IF(AND(C462="Stok keluar",F462&gt;0),"Stok keluar harus -",IF(H462&lt;0,"Stok negatif","OK")))))</f>
        <v/>
      </c>
    </row>
    <row r="463" spans="1:11" x14ac:dyDescent="0.3">
      <c r="A463" s="9" t="str">
        <f t="shared" si="14"/>
        <v/>
      </c>
      <c r="B463" s="10"/>
      <c r="C463" s="5"/>
      <c r="D463" s="5"/>
      <c r="E463" s="11" t="str">
        <f>IF(D463="","",IFERROR(INDEX('Master Produk'!$B$2:$B$101,MATCH(D463,'Master Produk'!$A$2:$A$101,0)),"SKU tidak ada di master"))</f>
        <v/>
      </c>
      <c r="F463" s="6"/>
      <c r="G463" s="12" t="str">
        <f>IF(D463="","",IFERROR(INDEX('Master Produk'!$C$2:$C$101,MATCH(D463,'Master Produk'!$A$2:$A$101,0)),0)+SUMIFS(F$1:F462,D$1:D462,D463))</f>
        <v/>
      </c>
      <c r="H463" s="12" t="str">
        <f t="shared" si="15"/>
        <v/>
      </c>
      <c r="I463" s="5"/>
      <c r="J463" s="5"/>
      <c r="K463" s="11" t="str">
        <f>IF(D463="","",IF(ISNA(MATCH(D463,'Master Produk'!$A$2:$A$101,0)),"SKU tidak ada di master",IF(AND(C463="Stok masuk",F463&lt;0),"Stok masuk harus +",IF(AND(C463="Stok keluar",F463&gt;0),"Stok keluar harus -",IF(H463&lt;0,"Stok negatif","OK")))))</f>
        <v/>
      </c>
    </row>
    <row r="464" spans="1:11" x14ac:dyDescent="0.3">
      <c r="A464" s="9" t="str">
        <f t="shared" si="14"/>
        <v/>
      </c>
      <c r="B464" s="10"/>
      <c r="C464" s="5"/>
      <c r="D464" s="5"/>
      <c r="E464" s="11" t="str">
        <f>IF(D464="","",IFERROR(INDEX('Master Produk'!$B$2:$B$101,MATCH(D464,'Master Produk'!$A$2:$A$101,0)),"SKU tidak ada di master"))</f>
        <v/>
      </c>
      <c r="F464" s="6"/>
      <c r="G464" s="12" t="str">
        <f>IF(D464="","",IFERROR(INDEX('Master Produk'!$C$2:$C$101,MATCH(D464,'Master Produk'!$A$2:$A$101,0)),0)+SUMIFS(F$1:F463,D$1:D463,D464))</f>
        <v/>
      </c>
      <c r="H464" s="12" t="str">
        <f t="shared" si="15"/>
        <v/>
      </c>
      <c r="I464" s="5"/>
      <c r="J464" s="5"/>
      <c r="K464" s="11" t="str">
        <f>IF(D464="","",IF(ISNA(MATCH(D464,'Master Produk'!$A$2:$A$101,0)),"SKU tidak ada di master",IF(AND(C464="Stok masuk",F464&lt;0),"Stok masuk harus +",IF(AND(C464="Stok keluar",F464&gt;0),"Stok keluar harus -",IF(H464&lt;0,"Stok negatif","OK")))))</f>
        <v/>
      </c>
    </row>
    <row r="465" spans="1:11" x14ac:dyDescent="0.3">
      <c r="A465" s="9" t="str">
        <f t="shared" si="14"/>
        <v/>
      </c>
      <c r="B465" s="10"/>
      <c r="C465" s="5"/>
      <c r="D465" s="5"/>
      <c r="E465" s="11" t="str">
        <f>IF(D465="","",IFERROR(INDEX('Master Produk'!$B$2:$B$101,MATCH(D465,'Master Produk'!$A$2:$A$101,0)),"SKU tidak ada di master"))</f>
        <v/>
      </c>
      <c r="F465" s="6"/>
      <c r="G465" s="12" t="str">
        <f>IF(D465="","",IFERROR(INDEX('Master Produk'!$C$2:$C$101,MATCH(D465,'Master Produk'!$A$2:$A$101,0)),0)+SUMIFS(F$1:F464,D$1:D464,D465))</f>
        <v/>
      </c>
      <c r="H465" s="12" t="str">
        <f t="shared" si="15"/>
        <v/>
      </c>
      <c r="I465" s="5"/>
      <c r="J465" s="5"/>
      <c r="K465" s="11" t="str">
        <f>IF(D465="","",IF(ISNA(MATCH(D465,'Master Produk'!$A$2:$A$101,0)),"SKU tidak ada di master",IF(AND(C465="Stok masuk",F465&lt;0),"Stok masuk harus +",IF(AND(C465="Stok keluar",F465&gt;0),"Stok keluar harus -",IF(H465&lt;0,"Stok negatif","OK")))))</f>
        <v/>
      </c>
    </row>
    <row r="466" spans="1:11" x14ac:dyDescent="0.3">
      <c r="A466" s="9" t="str">
        <f t="shared" si="14"/>
        <v/>
      </c>
      <c r="B466" s="10"/>
      <c r="C466" s="5"/>
      <c r="D466" s="5"/>
      <c r="E466" s="11" t="str">
        <f>IF(D466="","",IFERROR(INDEX('Master Produk'!$B$2:$B$101,MATCH(D466,'Master Produk'!$A$2:$A$101,0)),"SKU tidak ada di master"))</f>
        <v/>
      </c>
      <c r="F466" s="6"/>
      <c r="G466" s="12" t="str">
        <f>IF(D466="","",IFERROR(INDEX('Master Produk'!$C$2:$C$101,MATCH(D466,'Master Produk'!$A$2:$A$101,0)),0)+SUMIFS(F$1:F465,D$1:D465,D466))</f>
        <v/>
      </c>
      <c r="H466" s="12" t="str">
        <f t="shared" si="15"/>
        <v/>
      </c>
      <c r="I466" s="5"/>
      <c r="J466" s="5"/>
      <c r="K466" s="11" t="str">
        <f>IF(D466="","",IF(ISNA(MATCH(D466,'Master Produk'!$A$2:$A$101,0)),"SKU tidak ada di master",IF(AND(C466="Stok masuk",F466&lt;0),"Stok masuk harus +",IF(AND(C466="Stok keluar",F466&gt;0),"Stok keluar harus -",IF(H466&lt;0,"Stok negatif","OK")))))</f>
        <v/>
      </c>
    </row>
    <row r="467" spans="1:11" x14ac:dyDescent="0.3">
      <c r="A467" s="9" t="str">
        <f t="shared" si="14"/>
        <v/>
      </c>
      <c r="B467" s="10"/>
      <c r="C467" s="5"/>
      <c r="D467" s="5"/>
      <c r="E467" s="11" t="str">
        <f>IF(D467="","",IFERROR(INDEX('Master Produk'!$B$2:$B$101,MATCH(D467,'Master Produk'!$A$2:$A$101,0)),"SKU tidak ada di master"))</f>
        <v/>
      </c>
      <c r="F467" s="6"/>
      <c r="G467" s="12" t="str">
        <f>IF(D467="","",IFERROR(INDEX('Master Produk'!$C$2:$C$101,MATCH(D467,'Master Produk'!$A$2:$A$101,0)),0)+SUMIFS(F$1:F466,D$1:D466,D467))</f>
        <v/>
      </c>
      <c r="H467" s="12" t="str">
        <f t="shared" si="15"/>
        <v/>
      </c>
      <c r="I467" s="5"/>
      <c r="J467" s="5"/>
      <c r="K467" s="11" t="str">
        <f>IF(D467="","",IF(ISNA(MATCH(D467,'Master Produk'!$A$2:$A$101,0)),"SKU tidak ada di master",IF(AND(C467="Stok masuk",F467&lt;0),"Stok masuk harus +",IF(AND(C467="Stok keluar",F467&gt;0),"Stok keluar harus -",IF(H467&lt;0,"Stok negatif","OK")))))</f>
        <v/>
      </c>
    </row>
    <row r="468" spans="1:11" x14ac:dyDescent="0.3">
      <c r="A468" s="9" t="str">
        <f t="shared" si="14"/>
        <v/>
      </c>
      <c r="B468" s="10"/>
      <c r="C468" s="5"/>
      <c r="D468" s="5"/>
      <c r="E468" s="11" t="str">
        <f>IF(D468="","",IFERROR(INDEX('Master Produk'!$B$2:$B$101,MATCH(D468,'Master Produk'!$A$2:$A$101,0)),"SKU tidak ada di master"))</f>
        <v/>
      </c>
      <c r="F468" s="6"/>
      <c r="G468" s="12" t="str">
        <f>IF(D468="","",IFERROR(INDEX('Master Produk'!$C$2:$C$101,MATCH(D468,'Master Produk'!$A$2:$A$101,0)),0)+SUMIFS(F$1:F467,D$1:D467,D468))</f>
        <v/>
      </c>
      <c r="H468" s="12" t="str">
        <f t="shared" si="15"/>
        <v/>
      </c>
      <c r="I468" s="5"/>
      <c r="J468" s="5"/>
      <c r="K468" s="11" t="str">
        <f>IF(D468="","",IF(ISNA(MATCH(D468,'Master Produk'!$A$2:$A$101,0)),"SKU tidak ada di master",IF(AND(C468="Stok masuk",F468&lt;0),"Stok masuk harus +",IF(AND(C468="Stok keluar",F468&gt;0),"Stok keluar harus -",IF(H468&lt;0,"Stok negatif","OK")))))</f>
        <v/>
      </c>
    </row>
    <row r="469" spans="1:11" x14ac:dyDescent="0.3">
      <c r="A469" s="9" t="str">
        <f t="shared" si="14"/>
        <v/>
      </c>
      <c r="B469" s="10"/>
      <c r="C469" s="5"/>
      <c r="D469" s="5"/>
      <c r="E469" s="11" t="str">
        <f>IF(D469="","",IFERROR(INDEX('Master Produk'!$B$2:$B$101,MATCH(D469,'Master Produk'!$A$2:$A$101,0)),"SKU tidak ada di master"))</f>
        <v/>
      </c>
      <c r="F469" s="6"/>
      <c r="G469" s="12" t="str">
        <f>IF(D469="","",IFERROR(INDEX('Master Produk'!$C$2:$C$101,MATCH(D469,'Master Produk'!$A$2:$A$101,0)),0)+SUMIFS(F$1:F468,D$1:D468,D469))</f>
        <v/>
      </c>
      <c r="H469" s="12" t="str">
        <f t="shared" si="15"/>
        <v/>
      </c>
      <c r="I469" s="5"/>
      <c r="J469" s="5"/>
      <c r="K469" s="11" t="str">
        <f>IF(D469="","",IF(ISNA(MATCH(D469,'Master Produk'!$A$2:$A$101,0)),"SKU tidak ada di master",IF(AND(C469="Stok masuk",F469&lt;0),"Stok masuk harus +",IF(AND(C469="Stok keluar",F469&gt;0),"Stok keluar harus -",IF(H469&lt;0,"Stok negatif","OK")))))</f>
        <v/>
      </c>
    </row>
    <row r="470" spans="1:11" x14ac:dyDescent="0.3">
      <c r="A470" s="9" t="str">
        <f t="shared" si="14"/>
        <v/>
      </c>
      <c r="B470" s="10"/>
      <c r="C470" s="5"/>
      <c r="D470" s="5"/>
      <c r="E470" s="11" t="str">
        <f>IF(D470="","",IFERROR(INDEX('Master Produk'!$B$2:$B$101,MATCH(D470,'Master Produk'!$A$2:$A$101,0)),"SKU tidak ada di master"))</f>
        <v/>
      </c>
      <c r="F470" s="6"/>
      <c r="G470" s="12" t="str">
        <f>IF(D470="","",IFERROR(INDEX('Master Produk'!$C$2:$C$101,MATCH(D470,'Master Produk'!$A$2:$A$101,0)),0)+SUMIFS(F$1:F469,D$1:D469,D470))</f>
        <v/>
      </c>
      <c r="H470" s="12" t="str">
        <f t="shared" si="15"/>
        <v/>
      </c>
      <c r="I470" s="5"/>
      <c r="J470" s="5"/>
      <c r="K470" s="11" t="str">
        <f>IF(D470="","",IF(ISNA(MATCH(D470,'Master Produk'!$A$2:$A$101,0)),"SKU tidak ada di master",IF(AND(C470="Stok masuk",F470&lt;0),"Stok masuk harus +",IF(AND(C470="Stok keluar",F470&gt;0),"Stok keluar harus -",IF(H470&lt;0,"Stok negatif","OK")))))</f>
        <v/>
      </c>
    </row>
    <row r="471" spans="1:11" x14ac:dyDescent="0.3">
      <c r="A471" s="9" t="str">
        <f t="shared" si="14"/>
        <v/>
      </c>
      <c r="B471" s="10"/>
      <c r="C471" s="5"/>
      <c r="D471" s="5"/>
      <c r="E471" s="11" t="str">
        <f>IF(D471="","",IFERROR(INDEX('Master Produk'!$B$2:$B$101,MATCH(D471,'Master Produk'!$A$2:$A$101,0)),"SKU tidak ada di master"))</f>
        <v/>
      </c>
      <c r="F471" s="6"/>
      <c r="G471" s="12" t="str">
        <f>IF(D471="","",IFERROR(INDEX('Master Produk'!$C$2:$C$101,MATCH(D471,'Master Produk'!$A$2:$A$101,0)),0)+SUMIFS(F$1:F470,D$1:D470,D471))</f>
        <v/>
      </c>
      <c r="H471" s="12" t="str">
        <f t="shared" si="15"/>
        <v/>
      </c>
      <c r="I471" s="5"/>
      <c r="J471" s="5"/>
      <c r="K471" s="11" t="str">
        <f>IF(D471="","",IF(ISNA(MATCH(D471,'Master Produk'!$A$2:$A$101,0)),"SKU tidak ada di master",IF(AND(C471="Stok masuk",F471&lt;0),"Stok masuk harus +",IF(AND(C471="Stok keluar",F471&gt;0),"Stok keluar harus -",IF(H471&lt;0,"Stok negatif","OK")))))</f>
        <v/>
      </c>
    </row>
    <row r="472" spans="1:11" x14ac:dyDescent="0.3">
      <c r="A472" s="9" t="str">
        <f t="shared" si="14"/>
        <v/>
      </c>
      <c r="B472" s="10"/>
      <c r="C472" s="5"/>
      <c r="D472" s="5"/>
      <c r="E472" s="11" t="str">
        <f>IF(D472="","",IFERROR(INDEX('Master Produk'!$B$2:$B$101,MATCH(D472,'Master Produk'!$A$2:$A$101,0)),"SKU tidak ada di master"))</f>
        <v/>
      </c>
      <c r="F472" s="6"/>
      <c r="G472" s="12" t="str">
        <f>IF(D472="","",IFERROR(INDEX('Master Produk'!$C$2:$C$101,MATCH(D472,'Master Produk'!$A$2:$A$101,0)),0)+SUMIFS(F$1:F471,D$1:D471,D472))</f>
        <v/>
      </c>
      <c r="H472" s="12" t="str">
        <f t="shared" si="15"/>
        <v/>
      </c>
      <c r="I472" s="5"/>
      <c r="J472" s="5"/>
      <c r="K472" s="11" t="str">
        <f>IF(D472="","",IF(ISNA(MATCH(D472,'Master Produk'!$A$2:$A$101,0)),"SKU tidak ada di master",IF(AND(C472="Stok masuk",F472&lt;0),"Stok masuk harus +",IF(AND(C472="Stok keluar",F472&gt;0),"Stok keluar harus -",IF(H472&lt;0,"Stok negatif","OK")))))</f>
        <v/>
      </c>
    </row>
    <row r="473" spans="1:11" x14ac:dyDescent="0.3">
      <c r="A473" s="9" t="str">
        <f t="shared" si="14"/>
        <v/>
      </c>
      <c r="B473" s="10"/>
      <c r="C473" s="5"/>
      <c r="D473" s="5"/>
      <c r="E473" s="11" t="str">
        <f>IF(D473="","",IFERROR(INDEX('Master Produk'!$B$2:$B$101,MATCH(D473,'Master Produk'!$A$2:$A$101,0)),"SKU tidak ada di master"))</f>
        <v/>
      </c>
      <c r="F473" s="6"/>
      <c r="G473" s="12" t="str">
        <f>IF(D473="","",IFERROR(INDEX('Master Produk'!$C$2:$C$101,MATCH(D473,'Master Produk'!$A$2:$A$101,0)),0)+SUMIFS(F$1:F472,D$1:D472,D473))</f>
        <v/>
      </c>
      <c r="H473" s="12" t="str">
        <f t="shared" si="15"/>
        <v/>
      </c>
      <c r="I473" s="5"/>
      <c r="J473" s="5"/>
      <c r="K473" s="11" t="str">
        <f>IF(D473="","",IF(ISNA(MATCH(D473,'Master Produk'!$A$2:$A$101,0)),"SKU tidak ada di master",IF(AND(C473="Stok masuk",F473&lt;0),"Stok masuk harus +",IF(AND(C473="Stok keluar",F473&gt;0),"Stok keluar harus -",IF(H473&lt;0,"Stok negatif","OK")))))</f>
        <v/>
      </c>
    </row>
    <row r="474" spans="1:11" x14ac:dyDescent="0.3">
      <c r="A474" s="9" t="str">
        <f t="shared" si="14"/>
        <v/>
      </c>
      <c r="B474" s="10"/>
      <c r="C474" s="5"/>
      <c r="D474" s="5"/>
      <c r="E474" s="11" t="str">
        <f>IF(D474="","",IFERROR(INDEX('Master Produk'!$B$2:$B$101,MATCH(D474,'Master Produk'!$A$2:$A$101,0)),"SKU tidak ada di master"))</f>
        <v/>
      </c>
      <c r="F474" s="6"/>
      <c r="G474" s="12" t="str">
        <f>IF(D474="","",IFERROR(INDEX('Master Produk'!$C$2:$C$101,MATCH(D474,'Master Produk'!$A$2:$A$101,0)),0)+SUMIFS(F$1:F473,D$1:D473,D474))</f>
        <v/>
      </c>
      <c r="H474" s="12" t="str">
        <f t="shared" si="15"/>
        <v/>
      </c>
      <c r="I474" s="5"/>
      <c r="J474" s="5"/>
      <c r="K474" s="11" t="str">
        <f>IF(D474="","",IF(ISNA(MATCH(D474,'Master Produk'!$A$2:$A$101,0)),"SKU tidak ada di master",IF(AND(C474="Stok masuk",F474&lt;0),"Stok masuk harus +",IF(AND(C474="Stok keluar",F474&gt;0),"Stok keluar harus -",IF(H474&lt;0,"Stok negatif","OK")))))</f>
        <v/>
      </c>
    </row>
    <row r="475" spans="1:11" x14ac:dyDescent="0.3">
      <c r="A475" s="9" t="str">
        <f t="shared" si="14"/>
        <v/>
      </c>
      <c r="B475" s="10"/>
      <c r="C475" s="5"/>
      <c r="D475" s="5"/>
      <c r="E475" s="11" t="str">
        <f>IF(D475="","",IFERROR(INDEX('Master Produk'!$B$2:$B$101,MATCH(D475,'Master Produk'!$A$2:$A$101,0)),"SKU tidak ada di master"))</f>
        <v/>
      </c>
      <c r="F475" s="6"/>
      <c r="G475" s="12" t="str">
        <f>IF(D475="","",IFERROR(INDEX('Master Produk'!$C$2:$C$101,MATCH(D475,'Master Produk'!$A$2:$A$101,0)),0)+SUMIFS(F$1:F474,D$1:D474,D475))</f>
        <v/>
      </c>
      <c r="H475" s="12" t="str">
        <f t="shared" si="15"/>
        <v/>
      </c>
      <c r="I475" s="5"/>
      <c r="J475" s="5"/>
      <c r="K475" s="11" t="str">
        <f>IF(D475="","",IF(ISNA(MATCH(D475,'Master Produk'!$A$2:$A$101,0)),"SKU tidak ada di master",IF(AND(C475="Stok masuk",F475&lt;0),"Stok masuk harus +",IF(AND(C475="Stok keluar",F475&gt;0),"Stok keluar harus -",IF(H475&lt;0,"Stok negatif","OK")))))</f>
        <v/>
      </c>
    </row>
    <row r="476" spans="1:11" x14ac:dyDescent="0.3">
      <c r="A476" s="9" t="str">
        <f t="shared" si="14"/>
        <v/>
      </c>
      <c r="B476" s="10"/>
      <c r="C476" s="5"/>
      <c r="D476" s="5"/>
      <c r="E476" s="11" t="str">
        <f>IF(D476="","",IFERROR(INDEX('Master Produk'!$B$2:$B$101,MATCH(D476,'Master Produk'!$A$2:$A$101,0)),"SKU tidak ada di master"))</f>
        <v/>
      </c>
      <c r="F476" s="6"/>
      <c r="G476" s="12" t="str">
        <f>IF(D476="","",IFERROR(INDEX('Master Produk'!$C$2:$C$101,MATCH(D476,'Master Produk'!$A$2:$A$101,0)),0)+SUMIFS(F$1:F475,D$1:D475,D476))</f>
        <v/>
      </c>
      <c r="H476" s="12" t="str">
        <f t="shared" si="15"/>
        <v/>
      </c>
      <c r="I476" s="5"/>
      <c r="J476" s="5"/>
      <c r="K476" s="11" t="str">
        <f>IF(D476="","",IF(ISNA(MATCH(D476,'Master Produk'!$A$2:$A$101,0)),"SKU tidak ada di master",IF(AND(C476="Stok masuk",F476&lt;0),"Stok masuk harus +",IF(AND(C476="Stok keluar",F476&gt;0),"Stok keluar harus -",IF(H476&lt;0,"Stok negatif","OK")))))</f>
        <v/>
      </c>
    </row>
    <row r="477" spans="1:11" x14ac:dyDescent="0.3">
      <c r="A477" s="9" t="str">
        <f t="shared" si="14"/>
        <v/>
      </c>
      <c r="B477" s="10"/>
      <c r="C477" s="5"/>
      <c r="D477" s="5"/>
      <c r="E477" s="11" t="str">
        <f>IF(D477="","",IFERROR(INDEX('Master Produk'!$B$2:$B$101,MATCH(D477,'Master Produk'!$A$2:$A$101,0)),"SKU tidak ada di master"))</f>
        <v/>
      </c>
      <c r="F477" s="6"/>
      <c r="G477" s="12" t="str">
        <f>IF(D477="","",IFERROR(INDEX('Master Produk'!$C$2:$C$101,MATCH(D477,'Master Produk'!$A$2:$A$101,0)),0)+SUMIFS(F$1:F476,D$1:D476,D477))</f>
        <v/>
      </c>
      <c r="H477" s="12" t="str">
        <f t="shared" si="15"/>
        <v/>
      </c>
      <c r="I477" s="5"/>
      <c r="J477" s="5"/>
      <c r="K477" s="11" t="str">
        <f>IF(D477="","",IF(ISNA(MATCH(D477,'Master Produk'!$A$2:$A$101,0)),"SKU tidak ada di master",IF(AND(C477="Stok masuk",F477&lt;0),"Stok masuk harus +",IF(AND(C477="Stok keluar",F477&gt;0),"Stok keluar harus -",IF(H477&lt;0,"Stok negatif","OK")))))</f>
        <v/>
      </c>
    </row>
    <row r="478" spans="1:11" x14ac:dyDescent="0.3">
      <c r="A478" s="9" t="str">
        <f t="shared" si="14"/>
        <v/>
      </c>
      <c r="B478" s="10"/>
      <c r="C478" s="5"/>
      <c r="D478" s="5"/>
      <c r="E478" s="11" t="str">
        <f>IF(D478="","",IFERROR(INDEX('Master Produk'!$B$2:$B$101,MATCH(D478,'Master Produk'!$A$2:$A$101,0)),"SKU tidak ada di master"))</f>
        <v/>
      </c>
      <c r="F478" s="6"/>
      <c r="G478" s="12" t="str">
        <f>IF(D478="","",IFERROR(INDEX('Master Produk'!$C$2:$C$101,MATCH(D478,'Master Produk'!$A$2:$A$101,0)),0)+SUMIFS(F$1:F477,D$1:D477,D478))</f>
        <v/>
      </c>
      <c r="H478" s="12" t="str">
        <f t="shared" si="15"/>
        <v/>
      </c>
      <c r="I478" s="5"/>
      <c r="J478" s="5"/>
      <c r="K478" s="11" t="str">
        <f>IF(D478="","",IF(ISNA(MATCH(D478,'Master Produk'!$A$2:$A$101,0)),"SKU tidak ada di master",IF(AND(C478="Stok masuk",F478&lt;0),"Stok masuk harus +",IF(AND(C478="Stok keluar",F478&gt;0),"Stok keluar harus -",IF(H478&lt;0,"Stok negatif","OK")))))</f>
        <v/>
      </c>
    </row>
    <row r="479" spans="1:11" x14ac:dyDescent="0.3">
      <c r="A479" s="9" t="str">
        <f t="shared" si="14"/>
        <v/>
      </c>
      <c r="B479" s="10"/>
      <c r="C479" s="5"/>
      <c r="D479" s="5"/>
      <c r="E479" s="11" t="str">
        <f>IF(D479="","",IFERROR(INDEX('Master Produk'!$B$2:$B$101,MATCH(D479,'Master Produk'!$A$2:$A$101,0)),"SKU tidak ada di master"))</f>
        <v/>
      </c>
      <c r="F479" s="6"/>
      <c r="G479" s="12" t="str">
        <f>IF(D479="","",IFERROR(INDEX('Master Produk'!$C$2:$C$101,MATCH(D479,'Master Produk'!$A$2:$A$101,0)),0)+SUMIFS(F$1:F478,D$1:D478,D479))</f>
        <v/>
      </c>
      <c r="H479" s="12" t="str">
        <f t="shared" si="15"/>
        <v/>
      </c>
      <c r="I479" s="5"/>
      <c r="J479" s="5"/>
      <c r="K479" s="11" t="str">
        <f>IF(D479="","",IF(ISNA(MATCH(D479,'Master Produk'!$A$2:$A$101,0)),"SKU tidak ada di master",IF(AND(C479="Stok masuk",F479&lt;0),"Stok masuk harus +",IF(AND(C479="Stok keluar",F479&gt;0),"Stok keluar harus -",IF(H479&lt;0,"Stok negatif","OK")))))</f>
        <v/>
      </c>
    </row>
    <row r="480" spans="1:11" x14ac:dyDescent="0.3">
      <c r="A480" s="9" t="str">
        <f t="shared" si="14"/>
        <v/>
      </c>
      <c r="B480" s="10"/>
      <c r="C480" s="5"/>
      <c r="D480" s="5"/>
      <c r="E480" s="11" t="str">
        <f>IF(D480="","",IFERROR(INDEX('Master Produk'!$B$2:$B$101,MATCH(D480,'Master Produk'!$A$2:$A$101,0)),"SKU tidak ada di master"))</f>
        <v/>
      </c>
      <c r="F480" s="6"/>
      <c r="G480" s="12" t="str">
        <f>IF(D480="","",IFERROR(INDEX('Master Produk'!$C$2:$C$101,MATCH(D480,'Master Produk'!$A$2:$A$101,0)),0)+SUMIFS(F$1:F479,D$1:D479,D480))</f>
        <v/>
      </c>
      <c r="H480" s="12" t="str">
        <f t="shared" si="15"/>
        <v/>
      </c>
      <c r="I480" s="5"/>
      <c r="J480" s="5"/>
      <c r="K480" s="11" t="str">
        <f>IF(D480="","",IF(ISNA(MATCH(D480,'Master Produk'!$A$2:$A$101,0)),"SKU tidak ada di master",IF(AND(C480="Stok masuk",F480&lt;0),"Stok masuk harus +",IF(AND(C480="Stok keluar",F480&gt;0),"Stok keluar harus -",IF(H480&lt;0,"Stok negatif","OK")))))</f>
        <v/>
      </c>
    </row>
    <row r="481" spans="1:11" x14ac:dyDescent="0.3">
      <c r="A481" s="9" t="str">
        <f t="shared" si="14"/>
        <v/>
      </c>
      <c r="B481" s="10"/>
      <c r="C481" s="5"/>
      <c r="D481" s="5"/>
      <c r="E481" s="11" t="str">
        <f>IF(D481="","",IFERROR(INDEX('Master Produk'!$B$2:$B$101,MATCH(D481,'Master Produk'!$A$2:$A$101,0)),"SKU tidak ada di master"))</f>
        <v/>
      </c>
      <c r="F481" s="6"/>
      <c r="G481" s="12" t="str">
        <f>IF(D481="","",IFERROR(INDEX('Master Produk'!$C$2:$C$101,MATCH(D481,'Master Produk'!$A$2:$A$101,0)),0)+SUMIFS(F$1:F480,D$1:D480,D481))</f>
        <v/>
      </c>
      <c r="H481" s="12" t="str">
        <f t="shared" si="15"/>
        <v/>
      </c>
      <c r="I481" s="5"/>
      <c r="J481" s="5"/>
      <c r="K481" s="11" t="str">
        <f>IF(D481="","",IF(ISNA(MATCH(D481,'Master Produk'!$A$2:$A$101,0)),"SKU tidak ada di master",IF(AND(C481="Stok masuk",F481&lt;0),"Stok masuk harus +",IF(AND(C481="Stok keluar",F481&gt;0),"Stok keluar harus -",IF(H481&lt;0,"Stok negatif","OK")))))</f>
        <v/>
      </c>
    </row>
    <row r="482" spans="1:11" x14ac:dyDescent="0.3">
      <c r="A482" s="9" t="str">
        <f t="shared" si="14"/>
        <v/>
      </c>
      <c r="B482" s="10"/>
      <c r="C482" s="5"/>
      <c r="D482" s="5"/>
      <c r="E482" s="11" t="str">
        <f>IF(D482="","",IFERROR(INDEX('Master Produk'!$B$2:$B$101,MATCH(D482,'Master Produk'!$A$2:$A$101,0)),"SKU tidak ada di master"))</f>
        <v/>
      </c>
      <c r="F482" s="6"/>
      <c r="G482" s="12" t="str">
        <f>IF(D482="","",IFERROR(INDEX('Master Produk'!$C$2:$C$101,MATCH(D482,'Master Produk'!$A$2:$A$101,0)),0)+SUMIFS(F$1:F481,D$1:D481,D482))</f>
        <v/>
      </c>
      <c r="H482" s="12" t="str">
        <f t="shared" si="15"/>
        <v/>
      </c>
      <c r="I482" s="5"/>
      <c r="J482" s="5"/>
      <c r="K482" s="11" t="str">
        <f>IF(D482="","",IF(ISNA(MATCH(D482,'Master Produk'!$A$2:$A$101,0)),"SKU tidak ada di master",IF(AND(C482="Stok masuk",F482&lt;0),"Stok masuk harus +",IF(AND(C482="Stok keluar",F482&gt;0),"Stok keluar harus -",IF(H482&lt;0,"Stok negatif","OK")))))</f>
        <v/>
      </c>
    </row>
    <row r="483" spans="1:11" x14ac:dyDescent="0.3">
      <c r="A483" s="9" t="str">
        <f t="shared" si="14"/>
        <v/>
      </c>
      <c r="B483" s="10"/>
      <c r="C483" s="5"/>
      <c r="D483" s="5"/>
      <c r="E483" s="11" t="str">
        <f>IF(D483="","",IFERROR(INDEX('Master Produk'!$B$2:$B$101,MATCH(D483,'Master Produk'!$A$2:$A$101,0)),"SKU tidak ada di master"))</f>
        <v/>
      </c>
      <c r="F483" s="6"/>
      <c r="G483" s="12" t="str">
        <f>IF(D483="","",IFERROR(INDEX('Master Produk'!$C$2:$C$101,MATCH(D483,'Master Produk'!$A$2:$A$101,0)),0)+SUMIFS(F$1:F482,D$1:D482,D483))</f>
        <v/>
      </c>
      <c r="H483" s="12" t="str">
        <f t="shared" si="15"/>
        <v/>
      </c>
      <c r="I483" s="5"/>
      <c r="J483" s="5"/>
      <c r="K483" s="11" t="str">
        <f>IF(D483="","",IF(ISNA(MATCH(D483,'Master Produk'!$A$2:$A$101,0)),"SKU tidak ada di master",IF(AND(C483="Stok masuk",F483&lt;0),"Stok masuk harus +",IF(AND(C483="Stok keluar",F483&gt;0),"Stok keluar harus -",IF(H483&lt;0,"Stok negatif","OK")))))</f>
        <v/>
      </c>
    </row>
    <row r="484" spans="1:11" x14ac:dyDescent="0.3">
      <c r="A484" s="9" t="str">
        <f t="shared" si="14"/>
        <v/>
      </c>
      <c r="B484" s="10"/>
      <c r="C484" s="5"/>
      <c r="D484" s="5"/>
      <c r="E484" s="11" t="str">
        <f>IF(D484="","",IFERROR(INDEX('Master Produk'!$B$2:$B$101,MATCH(D484,'Master Produk'!$A$2:$A$101,0)),"SKU tidak ada di master"))</f>
        <v/>
      </c>
      <c r="F484" s="6"/>
      <c r="G484" s="12" t="str">
        <f>IF(D484="","",IFERROR(INDEX('Master Produk'!$C$2:$C$101,MATCH(D484,'Master Produk'!$A$2:$A$101,0)),0)+SUMIFS(F$1:F483,D$1:D483,D484))</f>
        <v/>
      </c>
      <c r="H484" s="12" t="str">
        <f t="shared" si="15"/>
        <v/>
      </c>
      <c r="I484" s="5"/>
      <c r="J484" s="5"/>
      <c r="K484" s="11" t="str">
        <f>IF(D484="","",IF(ISNA(MATCH(D484,'Master Produk'!$A$2:$A$101,0)),"SKU tidak ada di master",IF(AND(C484="Stok masuk",F484&lt;0),"Stok masuk harus +",IF(AND(C484="Stok keluar",F484&gt;0),"Stok keluar harus -",IF(H484&lt;0,"Stok negatif","OK")))))</f>
        <v/>
      </c>
    </row>
    <row r="485" spans="1:11" x14ac:dyDescent="0.3">
      <c r="A485" s="9" t="str">
        <f t="shared" si="14"/>
        <v/>
      </c>
      <c r="B485" s="10"/>
      <c r="C485" s="5"/>
      <c r="D485" s="5"/>
      <c r="E485" s="11" t="str">
        <f>IF(D485="","",IFERROR(INDEX('Master Produk'!$B$2:$B$101,MATCH(D485,'Master Produk'!$A$2:$A$101,0)),"SKU tidak ada di master"))</f>
        <v/>
      </c>
      <c r="F485" s="6"/>
      <c r="G485" s="12" t="str">
        <f>IF(D485="","",IFERROR(INDEX('Master Produk'!$C$2:$C$101,MATCH(D485,'Master Produk'!$A$2:$A$101,0)),0)+SUMIFS(F$1:F484,D$1:D484,D485))</f>
        <v/>
      </c>
      <c r="H485" s="12" t="str">
        <f t="shared" si="15"/>
        <v/>
      </c>
      <c r="I485" s="5"/>
      <c r="J485" s="5"/>
      <c r="K485" s="11" t="str">
        <f>IF(D485="","",IF(ISNA(MATCH(D485,'Master Produk'!$A$2:$A$101,0)),"SKU tidak ada di master",IF(AND(C485="Stok masuk",F485&lt;0),"Stok masuk harus +",IF(AND(C485="Stok keluar",F485&gt;0),"Stok keluar harus -",IF(H485&lt;0,"Stok negatif","OK")))))</f>
        <v/>
      </c>
    </row>
    <row r="486" spans="1:11" x14ac:dyDescent="0.3">
      <c r="A486" s="9" t="str">
        <f t="shared" si="14"/>
        <v/>
      </c>
      <c r="B486" s="10"/>
      <c r="C486" s="5"/>
      <c r="D486" s="5"/>
      <c r="E486" s="11" t="str">
        <f>IF(D486="","",IFERROR(INDEX('Master Produk'!$B$2:$B$101,MATCH(D486,'Master Produk'!$A$2:$A$101,0)),"SKU tidak ada di master"))</f>
        <v/>
      </c>
      <c r="F486" s="6"/>
      <c r="G486" s="12" t="str">
        <f>IF(D486="","",IFERROR(INDEX('Master Produk'!$C$2:$C$101,MATCH(D486,'Master Produk'!$A$2:$A$101,0)),0)+SUMIFS(F$1:F485,D$1:D485,D486))</f>
        <v/>
      </c>
      <c r="H486" s="12" t="str">
        <f t="shared" si="15"/>
        <v/>
      </c>
      <c r="I486" s="5"/>
      <c r="J486" s="5"/>
      <c r="K486" s="11" t="str">
        <f>IF(D486="","",IF(ISNA(MATCH(D486,'Master Produk'!$A$2:$A$101,0)),"SKU tidak ada di master",IF(AND(C486="Stok masuk",F486&lt;0),"Stok masuk harus +",IF(AND(C486="Stok keluar",F486&gt;0),"Stok keluar harus -",IF(H486&lt;0,"Stok negatif","OK")))))</f>
        <v/>
      </c>
    </row>
    <row r="487" spans="1:11" x14ac:dyDescent="0.3">
      <c r="A487" s="9" t="str">
        <f t="shared" si="14"/>
        <v/>
      </c>
      <c r="B487" s="10"/>
      <c r="C487" s="5"/>
      <c r="D487" s="5"/>
      <c r="E487" s="11" t="str">
        <f>IF(D487="","",IFERROR(INDEX('Master Produk'!$B$2:$B$101,MATCH(D487,'Master Produk'!$A$2:$A$101,0)),"SKU tidak ada di master"))</f>
        <v/>
      </c>
      <c r="F487" s="6"/>
      <c r="G487" s="12" t="str">
        <f>IF(D487="","",IFERROR(INDEX('Master Produk'!$C$2:$C$101,MATCH(D487,'Master Produk'!$A$2:$A$101,0)),0)+SUMIFS(F$1:F486,D$1:D486,D487))</f>
        <v/>
      </c>
      <c r="H487" s="12" t="str">
        <f t="shared" si="15"/>
        <v/>
      </c>
      <c r="I487" s="5"/>
      <c r="J487" s="5"/>
      <c r="K487" s="11" t="str">
        <f>IF(D487="","",IF(ISNA(MATCH(D487,'Master Produk'!$A$2:$A$101,0)),"SKU tidak ada di master",IF(AND(C487="Stok masuk",F487&lt;0),"Stok masuk harus +",IF(AND(C487="Stok keluar",F487&gt;0),"Stok keluar harus -",IF(H487&lt;0,"Stok negatif","OK")))))</f>
        <v/>
      </c>
    </row>
    <row r="488" spans="1:11" x14ac:dyDescent="0.3">
      <c r="A488" s="9" t="str">
        <f t="shared" si="14"/>
        <v/>
      </c>
      <c r="B488" s="10"/>
      <c r="C488" s="5"/>
      <c r="D488" s="5"/>
      <c r="E488" s="11" t="str">
        <f>IF(D488="","",IFERROR(INDEX('Master Produk'!$B$2:$B$101,MATCH(D488,'Master Produk'!$A$2:$A$101,0)),"SKU tidak ada di master"))</f>
        <v/>
      </c>
      <c r="F488" s="6"/>
      <c r="G488" s="12" t="str">
        <f>IF(D488="","",IFERROR(INDEX('Master Produk'!$C$2:$C$101,MATCH(D488,'Master Produk'!$A$2:$A$101,0)),0)+SUMIFS(F$1:F487,D$1:D487,D488))</f>
        <v/>
      </c>
      <c r="H488" s="12" t="str">
        <f t="shared" si="15"/>
        <v/>
      </c>
      <c r="I488" s="5"/>
      <c r="J488" s="5"/>
      <c r="K488" s="11" t="str">
        <f>IF(D488="","",IF(ISNA(MATCH(D488,'Master Produk'!$A$2:$A$101,0)),"SKU tidak ada di master",IF(AND(C488="Stok masuk",F488&lt;0),"Stok masuk harus +",IF(AND(C488="Stok keluar",F488&gt;0),"Stok keluar harus -",IF(H488&lt;0,"Stok negatif","OK")))))</f>
        <v/>
      </c>
    </row>
    <row r="489" spans="1:11" x14ac:dyDescent="0.3">
      <c r="A489" s="9" t="str">
        <f t="shared" si="14"/>
        <v/>
      </c>
      <c r="B489" s="10"/>
      <c r="C489" s="5"/>
      <c r="D489" s="5"/>
      <c r="E489" s="11" t="str">
        <f>IF(D489="","",IFERROR(INDEX('Master Produk'!$B$2:$B$101,MATCH(D489,'Master Produk'!$A$2:$A$101,0)),"SKU tidak ada di master"))</f>
        <v/>
      </c>
      <c r="F489" s="6"/>
      <c r="G489" s="12" t="str">
        <f>IF(D489="","",IFERROR(INDEX('Master Produk'!$C$2:$C$101,MATCH(D489,'Master Produk'!$A$2:$A$101,0)),0)+SUMIFS(F$1:F488,D$1:D488,D489))</f>
        <v/>
      </c>
      <c r="H489" s="12" t="str">
        <f t="shared" si="15"/>
        <v/>
      </c>
      <c r="I489" s="5"/>
      <c r="J489" s="5"/>
      <c r="K489" s="11" t="str">
        <f>IF(D489="","",IF(ISNA(MATCH(D489,'Master Produk'!$A$2:$A$101,0)),"SKU tidak ada di master",IF(AND(C489="Stok masuk",F489&lt;0),"Stok masuk harus +",IF(AND(C489="Stok keluar",F489&gt;0),"Stok keluar harus -",IF(H489&lt;0,"Stok negatif","OK")))))</f>
        <v/>
      </c>
    </row>
    <row r="490" spans="1:11" x14ac:dyDescent="0.3">
      <c r="A490" s="9" t="str">
        <f t="shared" si="14"/>
        <v/>
      </c>
      <c r="B490" s="10"/>
      <c r="C490" s="5"/>
      <c r="D490" s="5"/>
      <c r="E490" s="11" t="str">
        <f>IF(D490="","",IFERROR(INDEX('Master Produk'!$B$2:$B$101,MATCH(D490,'Master Produk'!$A$2:$A$101,0)),"SKU tidak ada di master"))</f>
        <v/>
      </c>
      <c r="F490" s="6"/>
      <c r="G490" s="12" t="str">
        <f>IF(D490="","",IFERROR(INDEX('Master Produk'!$C$2:$C$101,MATCH(D490,'Master Produk'!$A$2:$A$101,0)),0)+SUMIFS(F$1:F489,D$1:D489,D490))</f>
        <v/>
      </c>
      <c r="H490" s="12" t="str">
        <f t="shared" si="15"/>
        <v/>
      </c>
      <c r="I490" s="5"/>
      <c r="J490" s="5"/>
      <c r="K490" s="11" t="str">
        <f>IF(D490="","",IF(ISNA(MATCH(D490,'Master Produk'!$A$2:$A$101,0)),"SKU tidak ada di master",IF(AND(C490="Stok masuk",F490&lt;0),"Stok masuk harus +",IF(AND(C490="Stok keluar",F490&gt;0),"Stok keluar harus -",IF(H490&lt;0,"Stok negatif","OK")))))</f>
        <v/>
      </c>
    </row>
    <row r="491" spans="1:11" x14ac:dyDescent="0.3">
      <c r="A491" s="9" t="str">
        <f t="shared" si="14"/>
        <v/>
      </c>
      <c r="B491" s="10"/>
      <c r="C491" s="5"/>
      <c r="D491" s="5"/>
      <c r="E491" s="11" t="str">
        <f>IF(D491="","",IFERROR(INDEX('Master Produk'!$B$2:$B$101,MATCH(D491,'Master Produk'!$A$2:$A$101,0)),"SKU tidak ada di master"))</f>
        <v/>
      </c>
      <c r="F491" s="6"/>
      <c r="G491" s="12" t="str">
        <f>IF(D491="","",IFERROR(INDEX('Master Produk'!$C$2:$C$101,MATCH(D491,'Master Produk'!$A$2:$A$101,0)),0)+SUMIFS(F$1:F490,D$1:D490,D491))</f>
        <v/>
      </c>
      <c r="H491" s="12" t="str">
        <f t="shared" si="15"/>
        <v/>
      </c>
      <c r="I491" s="5"/>
      <c r="J491" s="5"/>
      <c r="K491" s="11" t="str">
        <f>IF(D491="","",IF(ISNA(MATCH(D491,'Master Produk'!$A$2:$A$101,0)),"SKU tidak ada di master",IF(AND(C491="Stok masuk",F491&lt;0),"Stok masuk harus +",IF(AND(C491="Stok keluar",F491&gt;0),"Stok keluar harus -",IF(H491&lt;0,"Stok negatif","OK")))))</f>
        <v/>
      </c>
    </row>
    <row r="492" spans="1:11" x14ac:dyDescent="0.3">
      <c r="A492" s="9" t="str">
        <f t="shared" si="14"/>
        <v/>
      </c>
      <c r="B492" s="10"/>
      <c r="C492" s="5"/>
      <c r="D492" s="5"/>
      <c r="E492" s="11" t="str">
        <f>IF(D492="","",IFERROR(INDEX('Master Produk'!$B$2:$B$101,MATCH(D492,'Master Produk'!$A$2:$A$101,0)),"SKU tidak ada di master"))</f>
        <v/>
      </c>
      <c r="F492" s="6"/>
      <c r="G492" s="12" t="str">
        <f>IF(D492="","",IFERROR(INDEX('Master Produk'!$C$2:$C$101,MATCH(D492,'Master Produk'!$A$2:$A$101,0)),0)+SUMIFS(F$1:F491,D$1:D491,D492))</f>
        <v/>
      </c>
      <c r="H492" s="12" t="str">
        <f t="shared" si="15"/>
        <v/>
      </c>
      <c r="I492" s="5"/>
      <c r="J492" s="5"/>
      <c r="K492" s="11" t="str">
        <f>IF(D492="","",IF(ISNA(MATCH(D492,'Master Produk'!$A$2:$A$101,0)),"SKU tidak ada di master",IF(AND(C492="Stok masuk",F492&lt;0),"Stok masuk harus +",IF(AND(C492="Stok keluar",F492&gt;0),"Stok keluar harus -",IF(H492&lt;0,"Stok negatif","OK")))))</f>
        <v/>
      </c>
    </row>
    <row r="493" spans="1:11" x14ac:dyDescent="0.3">
      <c r="A493" s="9" t="str">
        <f t="shared" si="14"/>
        <v/>
      </c>
      <c r="B493" s="10"/>
      <c r="C493" s="5"/>
      <c r="D493" s="5"/>
      <c r="E493" s="11" t="str">
        <f>IF(D493="","",IFERROR(INDEX('Master Produk'!$B$2:$B$101,MATCH(D493,'Master Produk'!$A$2:$A$101,0)),"SKU tidak ada di master"))</f>
        <v/>
      </c>
      <c r="F493" s="6"/>
      <c r="G493" s="12" t="str">
        <f>IF(D493="","",IFERROR(INDEX('Master Produk'!$C$2:$C$101,MATCH(D493,'Master Produk'!$A$2:$A$101,0)),0)+SUMIFS(F$1:F492,D$1:D492,D493))</f>
        <v/>
      </c>
      <c r="H493" s="12" t="str">
        <f t="shared" si="15"/>
        <v/>
      </c>
      <c r="I493" s="5"/>
      <c r="J493" s="5"/>
      <c r="K493" s="11" t="str">
        <f>IF(D493="","",IF(ISNA(MATCH(D493,'Master Produk'!$A$2:$A$101,0)),"SKU tidak ada di master",IF(AND(C493="Stok masuk",F493&lt;0),"Stok masuk harus +",IF(AND(C493="Stok keluar",F493&gt;0),"Stok keluar harus -",IF(H493&lt;0,"Stok negatif","OK")))))</f>
        <v/>
      </c>
    </row>
    <row r="494" spans="1:11" x14ac:dyDescent="0.3">
      <c r="A494" s="9" t="str">
        <f t="shared" si="14"/>
        <v/>
      </c>
      <c r="B494" s="10"/>
      <c r="C494" s="5"/>
      <c r="D494" s="5"/>
      <c r="E494" s="11" t="str">
        <f>IF(D494="","",IFERROR(INDEX('Master Produk'!$B$2:$B$101,MATCH(D494,'Master Produk'!$A$2:$A$101,0)),"SKU tidak ada di master"))</f>
        <v/>
      </c>
      <c r="F494" s="6"/>
      <c r="G494" s="12" t="str">
        <f>IF(D494="","",IFERROR(INDEX('Master Produk'!$C$2:$C$101,MATCH(D494,'Master Produk'!$A$2:$A$101,0)),0)+SUMIFS(F$1:F493,D$1:D493,D494))</f>
        <v/>
      </c>
      <c r="H494" s="12" t="str">
        <f t="shared" si="15"/>
        <v/>
      </c>
      <c r="I494" s="5"/>
      <c r="J494" s="5"/>
      <c r="K494" s="11" t="str">
        <f>IF(D494="","",IF(ISNA(MATCH(D494,'Master Produk'!$A$2:$A$101,0)),"SKU tidak ada di master",IF(AND(C494="Stok masuk",F494&lt;0),"Stok masuk harus +",IF(AND(C494="Stok keluar",F494&gt;0),"Stok keluar harus -",IF(H494&lt;0,"Stok negatif","OK")))))</f>
        <v/>
      </c>
    </row>
    <row r="495" spans="1:11" x14ac:dyDescent="0.3">
      <c r="A495" s="9" t="str">
        <f t="shared" si="14"/>
        <v/>
      </c>
      <c r="B495" s="10"/>
      <c r="C495" s="5"/>
      <c r="D495" s="5"/>
      <c r="E495" s="11" t="str">
        <f>IF(D495="","",IFERROR(INDEX('Master Produk'!$B$2:$B$101,MATCH(D495,'Master Produk'!$A$2:$A$101,0)),"SKU tidak ada di master"))</f>
        <v/>
      </c>
      <c r="F495" s="6"/>
      <c r="G495" s="12" t="str">
        <f>IF(D495="","",IFERROR(INDEX('Master Produk'!$C$2:$C$101,MATCH(D495,'Master Produk'!$A$2:$A$101,0)),0)+SUMIFS(F$1:F494,D$1:D494,D495))</f>
        <v/>
      </c>
      <c r="H495" s="12" t="str">
        <f t="shared" si="15"/>
        <v/>
      </c>
      <c r="I495" s="5"/>
      <c r="J495" s="5"/>
      <c r="K495" s="11" t="str">
        <f>IF(D495="","",IF(ISNA(MATCH(D495,'Master Produk'!$A$2:$A$101,0)),"SKU tidak ada di master",IF(AND(C495="Stok masuk",F495&lt;0),"Stok masuk harus +",IF(AND(C495="Stok keluar",F495&gt;0),"Stok keluar harus -",IF(H495&lt;0,"Stok negatif","OK")))))</f>
        <v/>
      </c>
    </row>
    <row r="496" spans="1:11" x14ac:dyDescent="0.3">
      <c r="A496" s="9" t="str">
        <f t="shared" si="14"/>
        <v/>
      </c>
      <c r="B496" s="10"/>
      <c r="C496" s="5"/>
      <c r="D496" s="5"/>
      <c r="E496" s="11" t="str">
        <f>IF(D496="","",IFERROR(INDEX('Master Produk'!$B$2:$B$101,MATCH(D496,'Master Produk'!$A$2:$A$101,0)),"SKU tidak ada di master"))</f>
        <v/>
      </c>
      <c r="F496" s="6"/>
      <c r="G496" s="12" t="str">
        <f>IF(D496="","",IFERROR(INDEX('Master Produk'!$C$2:$C$101,MATCH(D496,'Master Produk'!$A$2:$A$101,0)),0)+SUMIFS(F$1:F495,D$1:D495,D496))</f>
        <v/>
      </c>
      <c r="H496" s="12" t="str">
        <f t="shared" si="15"/>
        <v/>
      </c>
      <c r="I496" s="5"/>
      <c r="J496" s="5"/>
      <c r="K496" s="11" t="str">
        <f>IF(D496="","",IF(ISNA(MATCH(D496,'Master Produk'!$A$2:$A$101,0)),"SKU tidak ada di master",IF(AND(C496="Stok masuk",F496&lt;0),"Stok masuk harus +",IF(AND(C496="Stok keluar",F496&gt;0),"Stok keluar harus -",IF(H496&lt;0,"Stok negatif","OK")))))</f>
        <v/>
      </c>
    </row>
    <row r="497" spans="1:11" x14ac:dyDescent="0.3">
      <c r="A497" s="9" t="str">
        <f t="shared" si="14"/>
        <v/>
      </c>
      <c r="B497" s="10"/>
      <c r="C497" s="5"/>
      <c r="D497" s="5"/>
      <c r="E497" s="11" t="str">
        <f>IF(D497="","",IFERROR(INDEX('Master Produk'!$B$2:$B$101,MATCH(D497,'Master Produk'!$A$2:$A$101,0)),"SKU tidak ada di master"))</f>
        <v/>
      </c>
      <c r="F497" s="6"/>
      <c r="G497" s="12" t="str">
        <f>IF(D497="","",IFERROR(INDEX('Master Produk'!$C$2:$C$101,MATCH(D497,'Master Produk'!$A$2:$A$101,0)),0)+SUMIFS(F$1:F496,D$1:D496,D497))</f>
        <v/>
      </c>
      <c r="H497" s="12" t="str">
        <f t="shared" si="15"/>
        <v/>
      </c>
      <c r="I497" s="5"/>
      <c r="J497" s="5"/>
      <c r="K497" s="11" t="str">
        <f>IF(D497="","",IF(ISNA(MATCH(D497,'Master Produk'!$A$2:$A$101,0)),"SKU tidak ada di master",IF(AND(C497="Stok masuk",F497&lt;0),"Stok masuk harus +",IF(AND(C497="Stok keluar",F497&gt;0),"Stok keluar harus -",IF(H497&lt;0,"Stok negatif","OK")))))</f>
        <v/>
      </c>
    </row>
    <row r="498" spans="1:11" x14ac:dyDescent="0.3">
      <c r="A498" s="9" t="str">
        <f t="shared" si="14"/>
        <v/>
      </c>
      <c r="B498" s="10"/>
      <c r="C498" s="5"/>
      <c r="D498" s="5"/>
      <c r="E498" s="11" t="str">
        <f>IF(D498="","",IFERROR(INDEX('Master Produk'!$B$2:$B$101,MATCH(D498,'Master Produk'!$A$2:$A$101,0)),"SKU tidak ada di master"))</f>
        <v/>
      </c>
      <c r="F498" s="6"/>
      <c r="G498" s="12" t="str">
        <f>IF(D498="","",IFERROR(INDEX('Master Produk'!$C$2:$C$101,MATCH(D498,'Master Produk'!$A$2:$A$101,0)),0)+SUMIFS(F$1:F497,D$1:D497,D498))</f>
        <v/>
      </c>
      <c r="H498" s="12" t="str">
        <f t="shared" si="15"/>
        <v/>
      </c>
      <c r="I498" s="5"/>
      <c r="J498" s="5"/>
      <c r="K498" s="11" t="str">
        <f>IF(D498="","",IF(ISNA(MATCH(D498,'Master Produk'!$A$2:$A$101,0)),"SKU tidak ada di master",IF(AND(C498="Stok masuk",F498&lt;0),"Stok masuk harus +",IF(AND(C498="Stok keluar",F498&gt;0),"Stok keluar harus -",IF(H498&lt;0,"Stok negatif","OK")))))</f>
        <v/>
      </c>
    </row>
    <row r="499" spans="1:11" x14ac:dyDescent="0.3">
      <c r="A499" s="9" t="str">
        <f t="shared" si="14"/>
        <v/>
      </c>
      <c r="B499" s="10"/>
      <c r="C499" s="5"/>
      <c r="D499" s="5"/>
      <c r="E499" s="11" t="str">
        <f>IF(D499="","",IFERROR(INDEX('Master Produk'!$B$2:$B$101,MATCH(D499,'Master Produk'!$A$2:$A$101,0)),"SKU tidak ada di master"))</f>
        <v/>
      </c>
      <c r="F499" s="6"/>
      <c r="G499" s="12" t="str">
        <f>IF(D499="","",IFERROR(INDEX('Master Produk'!$C$2:$C$101,MATCH(D499,'Master Produk'!$A$2:$A$101,0)),0)+SUMIFS(F$1:F498,D$1:D498,D499))</f>
        <v/>
      </c>
      <c r="H499" s="12" t="str">
        <f t="shared" si="15"/>
        <v/>
      </c>
      <c r="I499" s="5"/>
      <c r="J499" s="5"/>
      <c r="K499" s="11" t="str">
        <f>IF(D499="","",IF(ISNA(MATCH(D499,'Master Produk'!$A$2:$A$101,0)),"SKU tidak ada di master",IF(AND(C499="Stok masuk",F499&lt;0),"Stok masuk harus +",IF(AND(C499="Stok keluar",F499&gt;0),"Stok keluar harus -",IF(H499&lt;0,"Stok negatif","OK")))))</f>
        <v/>
      </c>
    </row>
    <row r="500" spans="1:11" x14ac:dyDescent="0.3">
      <c r="A500" s="9" t="str">
        <f t="shared" si="14"/>
        <v/>
      </c>
      <c r="B500" s="10"/>
      <c r="C500" s="5"/>
      <c r="D500" s="5"/>
      <c r="E500" s="11" t="str">
        <f>IF(D500="","",IFERROR(INDEX('Master Produk'!$B$2:$B$101,MATCH(D500,'Master Produk'!$A$2:$A$101,0)),"SKU tidak ada di master"))</f>
        <v/>
      </c>
      <c r="F500" s="6"/>
      <c r="G500" s="12" t="str">
        <f>IF(D500="","",IFERROR(INDEX('Master Produk'!$C$2:$C$101,MATCH(D500,'Master Produk'!$A$2:$A$101,0)),0)+SUMIFS(F$1:F499,D$1:D499,D500))</f>
        <v/>
      </c>
      <c r="H500" s="12" t="str">
        <f t="shared" si="15"/>
        <v/>
      </c>
      <c r="I500" s="5"/>
      <c r="J500" s="5"/>
      <c r="K500" s="11" t="str">
        <f>IF(D500="","",IF(ISNA(MATCH(D500,'Master Produk'!$A$2:$A$101,0)),"SKU tidak ada di master",IF(AND(C500="Stok masuk",F500&lt;0),"Stok masuk harus +",IF(AND(C500="Stok keluar",F500&gt;0),"Stok keluar harus -",IF(H500&lt;0,"Stok negatif","OK")))))</f>
        <v/>
      </c>
    </row>
    <row r="501" spans="1:11" x14ac:dyDescent="0.3">
      <c r="A501" s="9" t="str">
        <f t="shared" si="14"/>
        <v/>
      </c>
      <c r="B501" s="10"/>
      <c r="C501" s="5"/>
      <c r="D501" s="5"/>
      <c r="E501" s="11" t="str">
        <f>IF(D501="","",IFERROR(INDEX('Master Produk'!$B$2:$B$101,MATCH(D501,'Master Produk'!$A$2:$A$101,0)),"SKU tidak ada di master"))</f>
        <v/>
      </c>
      <c r="F501" s="6"/>
      <c r="G501" s="12" t="str">
        <f>IF(D501="","",IFERROR(INDEX('Master Produk'!$C$2:$C$101,MATCH(D501,'Master Produk'!$A$2:$A$101,0)),0)+SUMIFS(F$1:F500,D$1:D500,D501))</f>
        <v/>
      </c>
      <c r="H501" s="12" t="str">
        <f t="shared" si="15"/>
        <v/>
      </c>
      <c r="I501" s="5"/>
      <c r="J501" s="5"/>
      <c r="K501" s="11" t="str">
        <f>IF(D501="","",IF(ISNA(MATCH(D501,'Master Produk'!$A$2:$A$101,0)),"SKU tidak ada di master",IF(AND(C501="Stok masuk",F501&lt;0),"Stok masuk harus +",IF(AND(C501="Stok keluar",F501&gt;0),"Stok keluar harus -",IF(H501&lt;0,"Stok negatif","OK")))))</f>
        <v/>
      </c>
    </row>
    <row r="502" spans="1:11" x14ac:dyDescent="0.3">
      <c r="A502" s="9" t="str">
        <f t="shared" si="14"/>
        <v/>
      </c>
      <c r="B502" s="10"/>
      <c r="C502" s="5"/>
      <c r="D502" s="5"/>
      <c r="E502" s="11" t="str">
        <f>IF(D502="","",IFERROR(INDEX('Master Produk'!$B$2:$B$101,MATCH(D502,'Master Produk'!$A$2:$A$101,0)),"SKU tidak ada di master"))</f>
        <v/>
      </c>
      <c r="F502" s="6"/>
      <c r="G502" s="12" t="str">
        <f>IF(D502="","",IFERROR(INDEX('Master Produk'!$C$2:$C$101,MATCH(D502,'Master Produk'!$A$2:$A$101,0)),0)+SUMIFS(F$1:F501,D$1:D501,D502))</f>
        <v/>
      </c>
      <c r="H502" s="12" t="str">
        <f t="shared" si="15"/>
        <v/>
      </c>
      <c r="I502" s="5"/>
      <c r="J502" s="5"/>
      <c r="K502" s="11" t="str">
        <f>IF(D502="","",IF(ISNA(MATCH(D502,'Master Produk'!$A$2:$A$101,0)),"SKU tidak ada di master",IF(AND(C502="Stok masuk",F502&lt;0),"Stok masuk harus +",IF(AND(C502="Stok keluar",F502&gt;0),"Stok keluar harus -",IF(H502&lt;0,"Stok negatif","OK")))))</f>
        <v/>
      </c>
    </row>
    <row r="503" spans="1:11" x14ac:dyDescent="0.3">
      <c r="A503" s="9" t="str">
        <f t="shared" si="14"/>
        <v/>
      </c>
      <c r="B503" s="10"/>
      <c r="C503" s="5"/>
      <c r="D503" s="5"/>
      <c r="E503" s="11" t="str">
        <f>IF(D503="","",IFERROR(INDEX('Master Produk'!$B$2:$B$101,MATCH(D503,'Master Produk'!$A$2:$A$101,0)),"SKU tidak ada di master"))</f>
        <v/>
      </c>
      <c r="F503" s="6"/>
      <c r="G503" s="12" t="str">
        <f>IF(D503="","",IFERROR(INDEX('Master Produk'!$C$2:$C$101,MATCH(D503,'Master Produk'!$A$2:$A$101,0)),0)+SUMIFS(F$1:F502,D$1:D502,D503))</f>
        <v/>
      </c>
      <c r="H503" s="12" t="str">
        <f t="shared" si="15"/>
        <v/>
      </c>
      <c r="I503" s="5"/>
      <c r="J503" s="5"/>
      <c r="K503" s="11" t="str">
        <f>IF(D503="","",IF(ISNA(MATCH(D503,'Master Produk'!$A$2:$A$101,0)),"SKU tidak ada di master",IF(AND(C503="Stok masuk",F503&lt;0),"Stok masuk harus +",IF(AND(C503="Stok keluar",F503&gt;0),"Stok keluar harus -",IF(H503&lt;0,"Stok negatif","OK")))))</f>
        <v/>
      </c>
    </row>
    <row r="504" spans="1:11" x14ac:dyDescent="0.3">
      <c r="A504" s="9" t="str">
        <f t="shared" si="14"/>
        <v/>
      </c>
      <c r="B504" s="10"/>
      <c r="C504" s="5"/>
      <c r="D504" s="5"/>
      <c r="E504" s="11" t="str">
        <f>IF(D504="","",IFERROR(INDEX('Master Produk'!$B$2:$B$101,MATCH(D504,'Master Produk'!$A$2:$A$101,0)),"SKU tidak ada di master"))</f>
        <v/>
      </c>
      <c r="F504" s="6"/>
      <c r="G504" s="12" t="str">
        <f>IF(D504="","",IFERROR(INDEX('Master Produk'!$C$2:$C$101,MATCH(D504,'Master Produk'!$A$2:$A$101,0)),0)+SUMIFS(F$1:F503,D$1:D503,D504))</f>
        <v/>
      </c>
      <c r="H504" s="12" t="str">
        <f t="shared" si="15"/>
        <v/>
      </c>
      <c r="I504" s="5"/>
      <c r="J504" s="5"/>
      <c r="K504" s="11" t="str">
        <f>IF(D504="","",IF(ISNA(MATCH(D504,'Master Produk'!$A$2:$A$101,0)),"SKU tidak ada di master",IF(AND(C504="Stok masuk",F504&lt;0),"Stok masuk harus +",IF(AND(C504="Stok keluar",F504&gt;0),"Stok keluar harus -",IF(H504&lt;0,"Stok negatif","OK")))))</f>
        <v/>
      </c>
    </row>
    <row r="505" spans="1:11" x14ac:dyDescent="0.3">
      <c r="A505" s="9" t="str">
        <f t="shared" si="14"/>
        <v/>
      </c>
      <c r="B505" s="10"/>
      <c r="C505" s="5"/>
      <c r="D505" s="5"/>
      <c r="E505" s="11" t="str">
        <f>IF(D505="","",IFERROR(INDEX('Master Produk'!$B$2:$B$101,MATCH(D505,'Master Produk'!$A$2:$A$101,0)),"SKU tidak ada di master"))</f>
        <v/>
      </c>
      <c r="F505" s="6"/>
      <c r="G505" s="12" t="str">
        <f>IF(D505="","",IFERROR(INDEX('Master Produk'!$C$2:$C$101,MATCH(D505,'Master Produk'!$A$2:$A$101,0)),0)+SUMIFS(F$1:F504,D$1:D504,D505))</f>
        <v/>
      </c>
      <c r="H505" s="12" t="str">
        <f t="shared" si="15"/>
        <v/>
      </c>
      <c r="I505" s="5"/>
      <c r="J505" s="5"/>
      <c r="K505" s="11" t="str">
        <f>IF(D505="","",IF(ISNA(MATCH(D505,'Master Produk'!$A$2:$A$101,0)),"SKU tidak ada di master",IF(AND(C505="Stok masuk",F505&lt;0),"Stok masuk harus +",IF(AND(C505="Stok keluar",F505&gt;0),"Stok keluar harus -",IF(H505&lt;0,"Stok negatif","OK")))))</f>
        <v/>
      </c>
    </row>
    <row r="506" spans="1:11" x14ac:dyDescent="0.3">
      <c r="A506" s="9" t="str">
        <f t="shared" si="14"/>
        <v/>
      </c>
      <c r="B506" s="10"/>
      <c r="C506" s="5"/>
      <c r="D506" s="5"/>
      <c r="E506" s="11" t="str">
        <f>IF(D506="","",IFERROR(INDEX('Master Produk'!$B$2:$B$101,MATCH(D506,'Master Produk'!$A$2:$A$101,0)),"SKU tidak ada di master"))</f>
        <v/>
      </c>
      <c r="F506" s="6"/>
      <c r="G506" s="12" t="str">
        <f>IF(D506="","",IFERROR(INDEX('Master Produk'!$C$2:$C$101,MATCH(D506,'Master Produk'!$A$2:$A$101,0)),0)+SUMIFS(F$1:F505,D$1:D505,D506))</f>
        <v/>
      </c>
      <c r="H506" s="12" t="str">
        <f t="shared" si="15"/>
        <v/>
      </c>
      <c r="I506" s="5"/>
      <c r="J506" s="5"/>
      <c r="K506" s="11" t="str">
        <f>IF(D506="","",IF(ISNA(MATCH(D506,'Master Produk'!$A$2:$A$101,0)),"SKU tidak ada di master",IF(AND(C506="Stok masuk",F506&lt;0),"Stok masuk harus +",IF(AND(C506="Stok keluar",F506&gt;0),"Stok keluar harus -",IF(H506&lt;0,"Stok negatif","OK")))))</f>
        <v/>
      </c>
    </row>
    <row r="507" spans="1:11" x14ac:dyDescent="0.3">
      <c r="A507" s="9" t="str">
        <f t="shared" si="14"/>
        <v/>
      </c>
      <c r="B507" s="10"/>
      <c r="C507" s="5"/>
      <c r="D507" s="5"/>
      <c r="E507" s="11" t="str">
        <f>IF(D507="","",IFERROR(INDEX('Master Produk'!$B$2:$B$101,MATCH(D507,'Master Produk'!$A$2:$A$101,0)),"SKU tidak ada di master"))</f>
        <v/>
      </c>
      <c r="F507" s="6"/>
      <c r="G507" s="12" t="str">
        <f>IF(D507="","",IFERROR(INDEX('Master Produk'!$C$2:$C$101,MATCH(D507,'Master Produk'!$A$2:$A$101,0)),0)+SUMIFS(F$1:F506,D$1:D506,D507))</f>
        <v/>
      </c>
      <c r="H507" s="12" t="str">
        <f t="shared" si="15"/>
        <v/>
      </c>
      <c r="I507" s="5"/>
      <c r="J507" s="5"/>
      <c r="K507" s="11" t="str">
        <f>IF(D507="","",IF(ISNA(MATCH(D507,'Master Produk'!$A$2:$A$101,0)),"SKU tidak ada di master",IF(AND(C507="Stok masuk",F507&lt;0),"Stok masuk harus +",IF(AND(C507="Stok keluar",F507&gt;0),"Stok keluar harus -",IF(H507&lt;0,"Stok negatif","OK")))))</f>
        <v/>
      </c>
    </row>
    <row r="508" spans="1:11" x14ac:dyDescent="0.3">
      <c r="A508" s="9" t="str">
        <f t="shared" si="14"/>
        <v/>
      </c>
      <c r="B508" s="10"/>
      <c r="C508" s="5"/>
      <c r="D508" s="5"/>
      <c r="E508" s="11" t="str">
        <f>IF(D508="","",IFERROR(INDEX('Master Produk'!$B$2:$B$101,MATCH(D508,'Master Produk'!$A$2:$A$101,0)),"SKU tidak ada di master"))</f>
        <v/>
      </c>
      <c r="F508" s="6"/>
      <c r="G508" s="12" t="str">
        <f>IF(D508="","",IFERROR(INDEX('Master Produk'!$C$2:$C$101,MATCH(D508,'Master Produk'!$A$2:$A$101,0)),0)+SUMIFS(F$1:F507,D$1:D507,D508))</f>
        <v/>
      </c>
      <c r="H508" s="12" t="str">
        <f t="shared" si="15"/>
        <v/>
      </c>
      <c r="I508" s="5"/>
      <c r="J508" s="5"/>
      <c r="K508" s="11" t="str">
        <f>IF(D508="","",IF(ISNA(MATCH(D508,'Master Produk'!$A$2:$A$101,0)),"SKU tidak ada di master",IF(AND(C508="Stok masuk",F508&lt;0),"Stok masuk harus +",IF(AND(C508="Stok keluar",F508&gt;0),"Stok keluar harus -",IF(H508&lt;0,"Stok negatif","OK")))))</f>
        <v/>
      </c>
    </row>
    <row r="509" spans="1:11" x14ac:dyDescent="0.3">
      <c r="A509" s="9" t="str">
        <f t="shared" si="14"/>
        <v/>
      </c>
      <c r="B509" s="10"/>
      <c r="C509" s="5"/>
      <c r="D509" s="5"/>
      <c r="E509" s="11" t="str">
        <f>IF(D509="","",IFERROR(INDEX('Master Produk'!$B$2:$B$101,MATCH(D509,'Master Produk'!$A$2:$A$101,0)),"SKU tidak ada di master"))</f>
        <v/>
      </c>
      <c r="F509" s="6"/>
      <c r="G509" s="12" t="str">
        <f>IF(D509="","",IFERROR(INDEX('Master Produk'!$C$2:$C$101,MATCH(D509,'Master Produk'!$A$2:$A$101,0)),0)+SUMIFS(F$1:F508,D$1:D508,D509))</f>
        <v/>
      </c>
      <c r="H509" s="12" t="str">
        <f t="shared" si="15"/>
        <v/>
      </c>
      <c r="I509" s="5"/>
      <c r="J509" s="5"/>
      <c r="K509" s="11" t="str">
        <f>IF(D509="","",IF(ISNA(MATCH(D509,'Master Produk'!$A$2:$A$101,0)),"SKU tidak ada di master",IF(AND(C509="Stok masuk",F509&lt;0),"Stok masuk harus +",IF(AND(C509="Stok keluar",F509&gt;0),"Stok keluar harus -",IF(H509&lt;0,"Stok negatif","OK")))))</f>
        <v/>
      </c>
    </row>
    <row r="510" spans="1:11" x14ac:dyDescent="0.3">
      <c r="A510" s="9" t="str">
        <f t="shared" si="14"/>
        <v/>
      </c>
      <c r="B510" s="10"/>
      <c r="C510" s="5"/>
      <c r="D510" s="5"/>
      <c r="E510" s="11" t="str">
        <f>IF(D510="","",IFERROR(INDEX('Master Produk'!$B$2:$B$101,MATCH(D510,'Master Produk'!$A$2:$A$101,0)),"SKU tidak ada di master"))</f>
        <v/>
      </c>
      <c r="F510" s="6"/>
      <c r="G510" s="12" t="str">
        <f>IF(D510="","",IFERROR(INDEX('Master Produk'!$C$2:$C$101,MATCH(D510,'Master Produk'!$A$2:$A$101,0)),0)+SUMIFS(F$1:F509,D$1:D509,D510))</f>
        <v/>
      </c>
      <c r="H510" s="12" t="str">
        <f t="shared" si="15"/>
        <v/>
      </c>
      <c r="I510" s="5"/>
      <c r="J510" s="5"/>
      <c r="K510" s="11" t="str">
        <f>IF(D510="","",IF(ISNA(MATCH(D510,'Master Produk'!$A$2:$A$101,0)),"SKU tidak ada di master",IF(AND(C510="Stok masuk",F510&lt;0),"Stok masuk harus +",IF(AND(C510="Stok keluar",F510&gt;0),"Stok keluar harus -",IF(H510&lt;0,"Stok negatif","OK")))))</f>
        <v/>
      </c>
    </row>
    <row r="511" spans="1:11" x14ac:dyDescent="0.3">
      <c r="A511" s="9" t="str">
        <f t="shared" si="14"/>
        <v/>
      </c>
      <c r="B511" s="10"/>
      <c r="C511" s="5"/>
      <c r="D511" s="5"/>
      <c r="E511" s="11" t="str">
        <f>IF(D511="","",IFERROR(INDEX('Master Produk'!$B$2:$B$101,MATCH(D511,'Master Produk'!$A$2:$A$101,0)),"SKU tidak ada di master"))</f>
        <v/>
      </c>
      <c r="F511" s="6"/>
      <c r="G511" s="12" t="str">
        <f>IF(D511="","",IFERROR(INDEX('Master Produk'!$C$2:$C$101,MATCH(D511,'Master Produk'!$A$2:$A$101,0)),0)+SUMIFS(F$1:F510,D$1:D510,D511))</f>
        <v/>
      </c>
      <c r="H511" s="12" t="str">
        <f t="shared" si="15"/>
        <v/>
      </c>
      <c r="I511" s="5"/>
      <c r="J511" s="5"/>
      <c r="K511" s="11" t="str">
        <f>IF(D511="","",IF(ISNA(MATCH(D511,'Master Produk'!$A$2:$A$101,0)),"SKU tidak ada di master",IF(AND(C511="Stok masuk",F511&lt;0),"Stok masuk harus +",IF(AND(C511="Stok keluar",F511&gt;0),"Stok keluar harus -",IF(H511&lt;0,"Stok negatif","OK")))))</f>
        <v/>
      </c>
    </row>
    <row r="512" spans="1:11" x14ac:dyDescent="0.3">
      <c r="A512" s="9" t="str">
        <f t="shared" si="14"/>
        <v/>
      </c>
      <c r="B512" s="10"/>
      <c r="C512" s="5"/>
      <c r="D512" s="5"/>
      <c r="E512" s="11" t="str">
        <f>IF(D512="","",IFERROR(INDEX('Master Produk'!$B$2:$B$101,MATCH(D512,'Master Produk'!$A$2:$A$101,0)),"SKU tidak ada di master"))</f>
        <v/>
      </c>
      <c r="F512" s="6"/>
      <c r="G512" s="12" t="str">
        <f>IF(D512="","",IFERROR(INDEX('Master Produk'!$C$2:$C$101,MATCH(D512,'Master Produk'!$A$2:$A$101,0)),0)+SUMIFS(F$1:F511,D$1:D511,D512))</f>
        <v/>
      </c>
      <c r="H512" s="12" t="str">
        <f t="shared" si="15"/>
        <v/>
      </c>
      <c r="I512" s="5"/>
      <c r="J512" s="5"/>
      <c r="K512" s="11" t="str">
        <f>IF(D512="","",IF(ISNA(MATCH(D512,'Master Produk'!$A$2:$A$101,0)),"SKU tidak ada di master",IF(AND(C512="Stok masuk",F512&lt;0),"Stok masuk harus +",IF(AND(C512="Stok keluar",F512&gt;0),"Stok keluar harus -",IF(H512&lt;0,"Stok negatif","OK")))))</f>
        <v/>
      </c>
    </row>
    <row r="513" spans="1:11" x14ac:dyDescent="0.3">
      <c r="A513" s="9" t="str">
        <f t="shared" si="14"/>
        <v/>
      </c>
      <c r="B513" s="10"/>
      <c r="C513" s="5"/>
      <c r="D513" s="5"/>
      <c r="E513" s="11" t="str">
        <f>IF(D513="","",IFERROR(INDEX('Master Produk'!$B$2:$B$101,MATCH(D513,'Master Produk'!$A$2:$A$101,0)),"SKU tidak ada di master"))</f>
        <v/>
      </c>
      <c r="F513" s="6"/>
      <c r="G513" s="12" t="str">
        <f>IF(D513="","",IFERROR(INDEX('Master Produk'!$C$2:$C$101,MATCH(D513,'Master Produk'!$A$2:$A$101,0)),0)+SUMIFS(F$1:F512,D$1:D512,D513))</f>
        <v/>
      </c>
      <c r="H513" s="12" t="str">
        <f t="shared" si="15"/>
        <v/>
      </c>
      <c r="I513" s="5"/>
      <c r="J513" s="5"/>
      <c r="K513" s="11" t="str">
        <f>IF(D513="","",IF(ISNA(MATCH(D513,'Master Produk'!$A$2:$A$101,0)),"SKU tidak ada di master",IF(AND(C513="Stok masuk",F513&lt;0),"Stok masuk harus +",IF(AND(C513="Stok keluar",F513&gt;0),"Stok keluar harus -",IF(H513&lt;0,"Stok negatif","OK")))))</f>
        <v/>
      </c>
    </row>
    <row r="514" spans="1:11" x14ac:dyDescent="0.3">
      <c r="A514" s="9" t="str">
        <f t="shared" ref="A514:A577" si="16">IF(D514="","",ROW()-1)</f>
        <v/>
      </c>
      <c r="B514" s="10"/>
      <c r="C514" s="5"/>
      <c r="D514" s="5"/>
      <c r="E514" s="11" t="str">
        <f>IF(D514="","",IFERROR(INDEX('Master Produk'!$B$2:$B$101,MATCH(D514,'Master Produk'!$A$2:$A$101,0)),"SKU tidak ada di master"))</f>
        <v/>
      </c>
      <c r="F514" s="6"/>
      <c r="G514" s="12" t="str">
        <f>IF(D514="","",IFERROR(INDEX('Master Produk'!$C$2:$C$101,MATCH(D514,'Master Produk'!$A$2:$A$101,0)),0)+SUMIFS(F$1:F513,D$1:D513,D514))</f>
        <v/>
      </c>
      <c r="H514" s="12" t="str">
        <f t="shared" ref="H514:H577" si="17">IF(D514="","",G514+F514)</f>
        <v/>
      </c>
      <c r="I514" s="5"/>
      <c r="J514" s="5"/>
      <c r="K514" s="11" t="str">
        <f>IF(D514="","",IF(ISNA(MATCH(D514,'Master Produk'!$A$2:$A$101,0)),"SKU tidak ada di master",IF(AND(C514="Stok masuk",F514&lt;0),"Stok masuk harus +",IF(AND(C514="Stok keluar",F514&gt;0),"Stok keluar harus -",IF(H514&lt;0,"Stok negatif","OK")))))</f>
        <v/>
      </c>
    </row>
    <row r="515" spans="1:11" x14ac:dyDescent="0.3">
      <c r="A515" s="9" t="str">
        <f t="shared" si="16"/>
        <v/>
      </c>
      <c r="B515" s="10"/>
      <c r="C515" s="5"/>
      <c r="D515" s="5"/>
      <c r="E515" s="11" t="str">
        <f>IF(D515="","",IFERROR(INDEX('Master Produk'!$B$2:$B$101,MATCH(D515,'Master Produk'!$A$2:$A$101,0)),"SKU tidak ada di master"))</f>
        <v/>
      </c>
      <c r="F515" s="6"/>
      <c r="G515" s="12" t="str">
        <f>IF(D515="","",IFERROR(INDEX('Master Produk'!$C$2:$C$101,MATCH(D515,'Master Produk'!$A$2:$A$101,0)),0)+SUMIFS(F$1:F514,D$1:D514,D515))</f>
        <v/>
      </c>
      <c r="H515" s="12" t="str">
        <f t="shared" si="17"/>
        <v/>
      </c>
      <c r="I515" s="5"/>
      <c r="J515" s="5"/>
      <c r="K515" s="11" t="str">
        <f>IF(D515="","",IF(ISNA(MATCH(D515,'Master Produk'!$A$2:$A$101,0)),"SKU tidak ada di master",IF(AND(C515="Stok masuk",F515&lt;0),"Stok masuk harus +",IF(AND(C515="Stok keluar",F515&gt;0),"Stok keluar harus -",IF(H515&lt;0,"Stok negatif","OK")))))</f>
        <v/>
      </c>
    </row>
    <row r="516" spans="1:11" x14ac:dyDescent="0.3">
      <c r="A516" s="9" t="str">
        <f t="shared" si="16"/>
        <v/>
      </c>
      <c r="B516" s="10"/>
      <c r="C516" s="5"/>
      <c r="D516" s="5"/>
      <c r="E516" s="11" t="str">
        <f>IF(D516="","",IFERROR(INDEX('Master Produk'!$B$2:$B$101,MATCH(D516,'Master Produk'!$A$2:$A$101,0)),"SKU tidak ada di master"))</f>
        <v/>
      </c>
      <c r="F516" s="6"/>
      <c r="G516" s="12" t="str">
        <f>IF(D516="","",IFERROR(INDEX('Master Produk'!$C$2:$C$101,MATCH(D516,'Master Produk'!$A$2:$A$101,0)),0)+SUMIFS(F$1:F515,D$1:D515,D516))</f>
        <v/>
      </c>
      <c r="H516" s="12" t="str">
        <f t="shared" si="17"/>
        <v/>
      </c>
      <c r="I516" s="5"/>
      <c r="J516" s="5"/>
      <c r="K516" s="11" t="str">
        <f>IF(D516="","",IF(ISNA(MATCH(D516,'Master Produk'!$A$2:$A$101,0)),"SKU tidak ada di master",IF(AND(C516="Stok masuk",F516&lt;0),"Stok masuk harus +",IF(AND(C516="Stok keluar",F516&gt;0),"Stok keluar harus -",IF(H516&lt;0,"Stok negatif","OK")))))</f>
        <v/>
      </c>
    </row>
    <row r="517" spans="1:11" x14ac:dyDescent="0.3">
      <c r="A517" s="9" t="str">
        <f t="shared" si="16"/>
        <v/>
      </c>
      <c r="B517" s="10"/>
      <c r="C517" s="5"/>
      <c r="D517" s="5"/>
      <c r="E517" s="11" t="str">
        <f>IF(D517="","",IFERROR(INDEX('Master Produk'!$B$2:$B$101,MATCH(D517,'Master Produk'!$A$2:$A$101,0)),"SKU tidak ada di master"))</f>
        <v/>
      </c>
      <c r="F517" s="6"/>
      <c r="G517" s="12" t="str">
        <f>IF(D517="","",IFERROR(INDEX('Master Produk'!$C$2:$C$101,MATCH(D517,'Master Produk'!$A$2:$A$101,0)),0)+SUMIFS(F$1:F516,D$1:D516,D517))</f>
        <v/>
      </c>
      <c r="H517" s="12" t="str">
        <f t="shared" si="17"/>
        <v/>
      </c>
      <c r="I517" s="5"/>
      <c r="J517" s="5"/>
      <c r="K517" s="11" t="str">
        <f>IF(D517="","",IF(ISNA(MATCH(D517,'Master Produk'!$A$2:$A$101,0)),"SKU tidak ada di master",IF(AND(C517="Stok masuk",F517&lt;0),"Stok masuk harus +",IF(AND(C517="Stok keluar",F517&gt;0),"Stok keluar harus -",IF(H517&lt;0,"Stok negatif","OK")))))</f>
        <v/>
      </c>
    </row>
    <row r="518" spans="1:11" x14ac:dyDescent="0.3">
      <c r="A518" s="9" t="str">
        <f t="shared" si="16"/>
        <v/>
      </c>
      <c r="B518" s="10"/>
      <c r="C518" s="5"/>
      <c r="D518" s="5"/>
      <c r="E518" s="11" t="str">
        <f>IF(D518="","",IFERROR(INDEX('Master Produk'!$B$2:$B$101,MATCH(D518,'Master Produk'!$A$2:$A$101,0)),"SKU tidak ada di master"))</f>
        <v/>
      </c>
      <c r="F518" s="6"/>
      <c r="G518" s="12" t="str">
        <f>IF(D518="","",IFERROR(INDEX('Master Produk'!$C$2:$C$101,MATCH(D518,'Master Produk'!$A$2:$A$101,0)),0)+SUMIFS(F$1:F517,D$1:D517,D518))</f>
        <v/>
      </c>
      <c r="H518" s="12" t="str">
        <f t="shared" si="17"/>
        <v/>
      </c>
      <c r="I518" s="5"/>
      <c r="J518" s="5"/>
      <c r="K518" s="11" t="str">
        <f>IF(D518="","",IF(ISNA(MATCH(D518,'Master Produk'!$A$2:$A$101,0)),"SKU tidak ada di master",IF(AND(C518="Stok masuk",F518&lt;0),"Stok masuk harus +",IF(AND(C518="Stok keluar",F518&gt;0),"Stok keluar harus -",IF(H518&lt;0,"Stok negatif","OK")))))</f>
        <v/>
      </c>
    </row>
    <row r="519" spans="1:11" x14ac:dyDescent="0.3">
      <c r="A519" s="9" t="str">
        <f t="shared" si="16"/>
        <v/>
      </c>
      <c r="B519" s="10"/>
      <c r="C519" s="5"/>
      <c r="D519" s="5"/>
      <c r="E519" s="11" t="str">
        <f>IF(D519="","",IFERROR(INDEX('Master Produk'!$B$2:$B$101,MATCH(D519,'Master Produk'!$A$2:$A$101,0)),"SKU tidak ada di master"))</f>
        <v/>
      </c>
      <c r="F519" s="6"/>
      <c r="G519" s="12" t="str">
        <f>IF(D519="","",IFERROR(INDEX('Master Produk'!$C$2:$C$101,MATCH(D519,'Master Produk'!$A$2:$A$101,0)),0)+SUMIFS(F$1:F518,D$1:D518,D519))</f>
        <v/>
      </c>
      <c r="H519" s="12" t="str">
        <f t="shared" si="17"/>
        <v/>
      </c>
      <c r="I519" s="5"/>
      <c r="J519" s="5"/>
      <c r="K519" s="11" t="str">
        <f>IF(D519="","",IF(ISNA(MATCH(D519,'Master Produk'!$A$2:$A$101,0)),"SKU tidak ada di master",IF(AND(C519="Stok masuk",F519&lt;0),"Stok masuk harus +",IF(AND(C519="Stok keluar",F519&gt;0),"Stok keluar harus -",IF(H519&lt;0,"Stok negatif","OK")))))</f>
        <v/>
      </c>
    </row>
    <row r="520" spans="1:11" x14ac:dyDescent="0.3">
      <c r="A520" s="9" t="str">
        <f t="shared" si="16"/>
        <v/>
      </c>
      <c r="B520" s="10"/>
      <c r="C520" s="5"/>
      <c r="D520" s="5"/>
      <c r="E520" s="11" t="str">
        <f>IF(D520="","",IFERROR(INDEX('Master Produk'!$B$2:$B$101,MATCH(D520,'Master Produk'!$A$2:$A$101,0)),"SKU tidak ada di master"))</f>
        <v/>
      </c>
      <c r="F520" s="6"/>
      <c r="G520" s="12" t="str">
        <f>IF(D520="","",IFERROR(INDEX('Master Produk'!$C$2:$C$101,MATCH(D520,'Master Produk'!$A$2:$A$101,0)),0)+SUMIFS(F$1:F519,D$1:D519,D520))</f>
        <v/>
      </c>
      <c r="H520" s="12" t="str">
        <f t="shared" si="17"/>
        <v/>
      </c>
      <c r="I520" s="5"/>
      <c r="J520" s="5"/>
      <c r="K520" s="11" t="str">
        <f>IF(D520="","",IF(ISNA(MATCH(D520,'Master Produk'!$A$2:$A$101,0)),"SKU tidak ada di master",IF(AND(C520="Stok masuk",F520&lt;0),"Stok masuk harus +",IF(AND(C520="Stok keluar",F520&gt;0),"Stok keluar harus -",IF(H520&lt;0,"Stok negatif","OK")))))</f>
        <v/>
      </c>
    </row>
    <row r="521" spans="1:11" x14ac:dyDescent="0.3">
      <c r="A521" s="9" t="str">
        <f t="shared" si="16"/>
        <v/>
      </c>
      <c r="B521" s="10"/>
      <c r="C521" s="5"/>
      <c r="D521" s="5"/>
      <c r="E521" s="11" t="str">
        <f>IF(D521="","",IFERROR(INDEX('Master Produk'!$B$2:$B$101,MATCH(D521,'Master Produk'!$A$2:$A$101,0)),"SKU tidak ada di master"))</f>
        <v/>
      </c>
      <c r="F521" s="6"/>
      <c r="G521" s="12" t="str">
        <f>IF(D521="","",IFERROR(INDEX('Master Produk'!$C$2:$C$101,MATCH(D521,'Master Produk'!$A$2:$A$101,0)),0)+SUMIFS(F$1:F520,D$1:D520,D521))</f>
        <v/>
      </c>
      <c r="H521" s="12" t="str">
        <f t="shared" si="17"/>
        <v/>
      </c>
      <c r="I521" s="5"/>
      <c r="J521" s="5"/>
      <c r="K521" s="11" t="str">
        <f>IF(D521="","",IF(ISNA(MATCH(D521,'Master Produk'!$A$2:$A$101,0)),"SKU tidak ada di master",IF(AND(C521="Stok masuk",F521&lt;0),"Stok masuk harus +",IF(AND(C521="Stok keluar",F521&gt;0),"Stok keluar harus -",IF(H521&lt;0,"Stok negatif","OK")))))</f>
        <v/>
      </c>
    </row>
    <row r="522" spans="1:11" x14ac:dyDescent="0.3">
      <c r="A522" s="9" t="str">
        <f t="shared" si="16"/>
        <v/>
      </c>
      <c r="B522" s="10"/>
      <c r="C522" s="5"/>
      <c r="D522" s="5"/>
      <c r="E522" s="11" t="str">
        <f>IF(D522="","",IFERROR(INDEX('Master Produk'!$B$2:$B$101,MATCH(D522,'Master Produk'!$A$2:$A$101,0)),"SKU tidak ada di master"))</f>
        <v/>
      </c>
      <c r="F522" s="6"/>
      <c r="G522" s="12" t="str">
        <f>IF(D522="","",IFERROR(INDEX('Master Produk'!$C$2:$C$101,MATCH(D522,'Master Produk'!$A$2:$A$101,0)),0)+SUMIFS(F$1:F521,D$1:D521,D522))</f>
        <v/>
      </c>
      <c r="H522" s="12" t="str">
        <f t="shared" si="17"/>
        <v/>
      </c>
      <c r="I522" s="5"/>
      <c r="J522" s="5"/>
      <c r="K522" s="11" t="str">
        <f>IF(D522="","",IF(ISNA(MATCH(D522,'Master Produk'!$A$2:$A$101,0)),"SKU tidak ada di master",IF(AND(C522="Stok masuk",F522&lt;0),"Stok masuk harus +",IF(AND(C522="Stok keluar",F522&gt;0),"Stok keluar harus -",IF(H522&lt;0,"Stok negatif","OK")))))</f>
        <v/>
      </c>
    </row>
    <row r="523" spans="1:11" x14ac:dyDescent="0.3">
      <c r="A523" s="9" t="str">
        <f t="shared" si="16"/>
        <v/>
      </c>
      <c r="B523" s="10"/>
      <c r="C523" s="5"/>
      <c r="D523" s="5"/>
      <c r="E523" s="11" t="str">
        <f>IF(D523="","",IFERROR(INDEX('Master Produk'!$B$2:$B$101,MATCH(D523,'Master Produk'!$A$2:$A$101,0)),"SKU tidak ada di master"))</f>
        <v/>
      </c>
      <c r="F523" s="6"/>
      <c r="G523" s="12" t="str">
        <f>IF(D523="","",IFERROR(INDEX('Master Produk'!$C$2:$C$101,MATCH(D523,'Master Produk'!$A$2:$A$101,0)),0)+SUMIFS(F$1:F522,D$1:D522,D523))</f>
        <v/>
      </c>
      <c r="H523" s="12" t="str">
        <f t="shared" si="17"/>
        <v/>
      </c>
      <c r="I523" s="5"/>
      <c r="J523" s="5"/>
      <c r="K523" s="11" t="str">
        <f>IF(D523="","",IF(ISNA(MATCH(D523,'Master Produk'!$A$2:$A$101,0)),"SKU tidak ada di master",IF(AND(C523="Stok masuk",F523&lt;0),"Stok masuk harus +",IF(AND(C523="Stok keluar",F523&gt;0),"Stok keluar harus -",IF(H523&lt;0,"Stok negatif","OK")))))</f>
        <v/>
      </c>
    </row>
    <row r="524" spans="1:11" x14ac:dyDescent="0.3">
      <c r="A524" s="9" t="str">
        <f t="shared" si="16"/>
        <v/>
      </c>
      <c r="B524" s="10"/>
      <c r="C524" s="5"/>
      <c r="D524" s="5"/>
      <c r="E524" s="11" t="str">
        <f>IF(D524="","",IFERROR(INDEX('Master Produk'!$B$2:$B$101,MATCH(D524,'Master Produk'!$A$2:$A$101,0)),"SKU tidak ada di master"))</f>
        <v/>
      </c>
      <c r="F524" s="6"/>
      <c r="G524" s="12" t="str">
        <f>IF(D524="","",IFERROR(INDEX('Master Produk'!$C$2:$C$101,MATCH(D524,'Master Produk'!$A$2:$A$101,0)),0)+SUMIFS(F$1:F523,D$1:D523,D524))</f>
        <v/>
      </c>
      <c r="H524" s="12" t="str">
        <f t="shared" si="17"/>
        <v/>
      </c>
      <c r="I524" s="5"/>
      <c r="J524" s="5"/>
      <c r="K524" s="11" t="str">
        <f>IF(D524="","",IF(ISNA(MATCH(D524,'Master Produk'!$A$2:$A$101,0)),"SKU tidak ada di master",IF(AND(C524="Stok masuk",F524&lt;0),"Stok masuk harus +",IF(AND(C524="Stok keluar",F524&gt;0),"Stok keluar harus -",IF(H524&lt;0,"Stok negatif","OK")))))</f>
        <v/>
      </c>
    </row>
    <row r="525" spans="1:11" x14ac:dyDescent="0.3">
      <c r="A525" s="9" t="str">
        <f t="shared" si="16"/>
        <v/>
      </c>
      <c r="B525" s="10"/>
      <c r="C525" s="5"/>
      <c r="D525" s="5"/>
      <c r="E525" s="11" t="str">
        <f>IF(D525="","",IFERROR(INDEX('Master Produk'!$B$2:$B$101,MATCH(D525,'Master Produk'!$A$2:$A$101,0)),"SKU tidak ada di master"))</f>
        <v/>
      </c>
      <c r="F525" s="6"/>
      <c r="G525" s="12" t="str">
        <f>IF(D525="","",IFERROR(INDEX('Master Produk'!$C$2:$C$101,MATCH(D525,'Master Produk'!$A$2:$A$101,0)),0)+SUMIFS(F$1:F524,D$1:D524,D525))</f>
        <v/>
      </c>
      <c r="H525" s="12" t="str">
        <f t="shared" si="17"/>
        <v/>
      </c>
      <c r="I525" s="5"/>
      <c r="J525" s="5"/>
      <c r="K525" s="11" t="str">
        <f>IF(D525="","",IF(ISNA(MATCH(D525,'Master Produk'!$A$2:$A$101,0)),"SKU tidak ada di master",IF(AND(C525="Stok masuk",F525&lt;0),"Stok masuk harus +",IF(AND(C525="Stok keluar",F525&gt;0),"Stok keluar harus -",IF(H525&lt;0,"Stok negatif","OK")))))</f>
        <v/>
      </c>
    </row>
    <row r="526" spans="1:11" x14ac:dyDescent="0.3">
      <c r="A526" s="9" t="str">
        <f t="shared" si="16"/>
        <v/>
      </c>
      <c r="B526" s="10"/>
      <c r="C526" s="5"/>
      <c r="D526" s="5"/>
      <c r="E526" s="11" t="str">
        <f>IF(D526="","",IFERROR(INDEX('Master Produk'!$B$2:$B$101,MATCH(D526,'Master Produk'!$A$2:$A$101,0)),"SKU tidak ada di master"))</f>
        <v/>
      </c>
      <c r="F526" s="6"/>
      <c r="G526" s="12" t="str">
        <f>IF(D526="","",IFERROR(INDEX('Master Produk'!$C$2:$C$101,MATCH(D526,'Master Produk'!$A$2:$A$101,0)),0)+SUMIFS(F$1:F525,D$1:D525,D526))</f>
        <v/>
      </c>
      <c r="H526" s="12" t="str">
        <f t="shared" si="17"/>
        <v/>
      </c>
      <c r="I526" s="5"/>
      <c r="J526" s="5"/>
      <c r="K526" s="11" t="str">
        <f>IF(D526="","",IF(ISNA(MATCH(D526,'Master Produk'!$A$2:$A$101,0)),"SKU tidak ada di master",IF(AND(C526="Stok masuk",F526&lt;0),"Stok masuk harus +",IF(AND(C526="Stok keluar",F526&gt;0),"Stok keluar harus -",IF(H526&lt;0,"Stok negatif","OK")))))</f>
        <v/>
      </c>
    </row>
    <row r="527" spans="1:11" x14ac:dyDescent="0.3">
      <c r="A527" s="9" t="str">
        <f t="shared" si="16"/>
        <v/>
      </c>
      <c r="B527" s="10"/>
      <c r="C527" s="5"/>
      <c r="D527" s="5"/>
      <c r="E527" s="11" t="str">
        <f>IF(D527="","",IFERROR(INDEX('Master Produk'!$B$2:$B$101,MATCH(D527,'Master Produk'!$A$2:$A$101,0)),"SKU tidak ada di master"))</f>
        <v/>
      </c>
      <c r="F527" s="6"/>
      <c r="G527" s="12" t="str">
        <f>IF(D527="","",IFERROR(INDEX('Master Produk'!$C$2:$C$101,MATCH(D527,'Master Produk'!$A$2:$A$101,0)),0)+SUMIFS(F$1:F526,D$1:D526,D527))</f>
        <v/>
      </c>
      <c r="H527" s="12" t="str">
        <f t="shared" si="17"/>
        <v/>
      </c>
      <c r="I527" s="5"/>
      <c r="J527" s="5"/>
      <c r="K527" s="11" t="str">
        <f>IF(D527="","",IF(ISNA(MATCH(D527,'Master Produk'!$A$2:$A$101,0)),"SKU tidak ada di master",IF(AND(C527="Stok masuk",F527&lt;0),"Stok masuk harus +",IF(AND(C527="Stok keluar",F527&gt;0),"Stok keluar harus -",IF(H527&lt;0,"Stok negatif","OK")))))</f>
        <v/>
      </c>
    </row>
    <row r="528" spans="1:11" x14ac:dyDescent="0.3">
      <c r="A528" s="9" t="str">
        <f t="shared" si="16"/>
        <v/>
      </c>
      <c r="B528" s="10"/>
      <c r="C528" s="5"/>
      <c r="D528" s="5"/>
      <c r="E528" s="11" t="str">
        <f>IF(D528="","",IFERROR(INDEX('Master Produk'!$B$2:$B$101,MATCH(D528,'Master Produk'!$A$2:$A$101,0)),"SKU tidak ada di master"))</f>
        <v/>
      </c>
      <c r="F528" s="6"/>
      <c r="G528" s="12" t="str">
        <f>IF(D528="","",IFERROR(INDEX('Master Produk'!$C$2:$C$101,MATCH(D528,'Master Produk'!$A$2:$A$101,0)),0)+SUMIFS(F$1:F527,D$1:D527,D528))</f>
        <v/>
      </c>
      <c r="H528" s="12" t="str">
        <f t="shared" si="17"/>
        <v/>
      </c>
      <c r="I528" s="5"/>
      <c r="J528" s="5"/>
      <c r="K528" s="11" t="str">
        <f>IF(D528="","",IF(ISNA(MATCH(D528,'Master Produk'!$A$2:$A$101,0)),"SKU tidak ada di master",IF(AND(C528="Stok masuk",F528&lt;0),"Stok masuk harus +",IF(AND(C528="Stok keluar",F528&gt;0),"Stok keluar harus -",IF(H528&lt;0,"Stok negatif","OK")))))</f>
        <v/>
      </c>
    </row>
    <row r="529" spans="1:11" x14ac:dyDescent="0.3">
      <c r="A529" s="9" t="str">
        <f t="shared" si="16"/>
        <v/>
      </c>
      <c r="B529" s="10"/>
      <c r="C529" s="5"/>
      <c r="D529" s="5"/>
      <c r="E529" s="11" t="str">
        <f>IF(D529="","",IFERROR(INDEX('Master Produk'!$B$2:$B$101,MATCH(D529,'Master Produk'!$A$2:$A$101,0)),"SKU tidak ada di master"))</f>
        <v/>
      </c>
      <c r="F529" s="6"/>
      <c r="G529" s="12" t="str">
        <f>IF(D529="","",IFERROR(INDEX('Master Produk'!$C$2:$C$101,MATCH(D529,'Master Produk'!$A$2:$A$101,0)),0)+SUMIFS(F$1:F528,D$1:D528,D529))</f>
        <v/>
      </c>
      <c r="H529" s="12" t="str">
        <f t="shared" si="17"/>
        <v/>
      </c>
      <c r="I529" s="5"/>
      <c r="J529" s="5"/>
      <c r="K529" s="11" t="str">
        <f>IF(D529="","",IF(ISNA(MATCH(D529,'Master Produk'!$A$2:$A$101,0)),"SKU tidak ada di master",IF(AND(C529="Stok masuk",F529&lt;0),"Stok masuk harus +",IF(AND(C529="Stok keluar",F529&gt;0),"Stok keluar harus -",IF(H529&lt;0,"Stok negatif","OK")))))</f>
        <v/>
      </c>
    </row>
    <row r="530" spans="1:11" x14ac:dyDescent="0.3">
      <c r="A530" s="9" t="str">
        <f t="shared" si="16"/>
        <v/>
      </c>
      <c r="B530" s="10"/>
      <c r="C530" s="5"/>
      <c r="D530" s="5"/>
      <c r="E530" s="11" t="str">
        <f>IF(D530="","",IFERROR(INDEX('Master Produk'!$B$2:$B$101,MATCH(D530,'Master Produk'!$A$2:$A$101,0)),"SKU tidak ada di master"))</f>
        <v/>
      </c>
      <c r="F530" s="6"/>
      <c r="G530" s="12" t="str">
        <f>IF(D530="","",IFERROR(INDEX('Master Produk'!$C$2:$C$101,MATCH(D530,'Master Produk'!$A$2:$A$101,0)),0)+SUMIFS(F$1:F529,D$1:D529,D530))</f>
        <v/>
      </c>
      <c r="H530" s="12" t="str">
        <f t="shared" si="17"/>
        <v/>
      </c>
      <c r="I530" s="5"/>
      <c r="J530" s="5"/>
      <c r="K530" s="11" t="str">
        <f>IF(D530="","",IF(ISNA(MATCH(D530,'Master Produk'!$A$2:$A$101,0)),"SKU tidak ada di master",IF(AND(C530="Stok masuk",F530&lt;0),"Stok masuk harus +",IF(AND(C530="Stok keluar",F530&gt;0),"Stok keluar harus -",IF(H530&lt;0,"Stok negatif","OK")))))</f>
        <v/>
      </c>
    </row>
    <row r="531" spans="1:11" x14ac:dyDescent="0.3">
      <c r="A531" s="9" t="str">
        <f t="shared" si="16"/>
        <v/>
      </c>
      <c r="B531" s="10"/>
      <c r="C531" s="5"/>
      <c r="D531" s="5"/>
      <c r="E531" s="11" t="str">
        <f>IF(D531="","",IFERROR(INDEX('Master Produk'!$B$2:$B$101,MATCH(D531,'Master Produk'!$A$2:$A$101,0)),"SKU tidak ada di master"))</f>
        <v/>
      </c>
      <c r="F531" s="6"/>
      <c r="G531" s="12" t="str">
        <f>IF(D531="","",IFERROR(INDEX('Master Produk'!$C$2:$C$101,MATCH(D531,'Master Produk'!$A$2:$A$101,0)),0)+SUMIFS(F$1:F530,D$1:D530,D531))</f>
        <v/>
      </c>
      <c r="H531" s="12" t="str">
        <f t="shared" si="17"/>
        <v/>
      </c>
      <c r="I531" s="5"/>
      <c r="J531" s="5"/>
      <c r="K531" s="11" t="str">
        <f>IF(D531="","",IF(ISNA(MATCH(D531,'Master Produk'!$A$2:$A$101,0)),"SKU tidak ada di master",IF(AND(C531="Stok masuk",F531&lt;0),"Stok masuk harus +",IF(AND(C531="Stok keluar",F531&gt;0),"Stok keluar harus -",IF(H531&lt;0,"Stok negatif","OK")))))</f>
        <v/>
      </c>
    </row>
    <row r="532" spans="1:11" x14ac:dyDescent="0.3">
      <c r="A532" s="9" t="str">
        <f t="shared" si="16"/>
        <v/>
      </c>
      <c r="B532" s="10"/>
      <c r="C532" s="5"/>
      <c r="D532" s="5"/>
      <c r="E532" s="11" t="str">
        <f>IF(D532="","",IFERROR(INDEX('Master Produk'!$B$2:$B$101,MATCH(D532,'Master Produk'!$A$2:$A$101,0)),"SKU tidak ada di master"))</f>
        <v/>
      </c>
      <c r="F532" s="6"/>
      <c r="G532" s="12" t="str">
        <f>IF(D532="","",IFERROR(INDEX('Master Produk'!$C$2:$C$101,MATCH(D532,'Master Produk'!$A$2:$A$101,0)),0)+SUMIFS(F$1:F531,D$1:D531,D532))</f>
        <v/>
      </c>
      <c r="H532" s="12" t="str">
        <f t="shared" si="17"/>
        <v/>
      </c>
      <c r="I532" s="5"/>
      <c r="J532" s="5"/>
      <c r="K532" s="11" t="str">
        <f>IF(D532="","",IF(ISNA(MATCH(D532,'Master Produk'!$A$2:$A$101,0)),"SKU tidak ada di master",IF(AND(C532="Stok masuk",F532&lt;0),"Stok masuk harus +",IF(AND(C532="Stok keluar",F532&gt;0),"Stok keluar harus -",IF(H532&lt;0,"Stok negatif","OK")))))</f>
        <v/>
      </c>
    </row>
    <row r="533" spans="1:11" x14ac:dyDescent="0.3">
      <c r="A533" s="9" t="str">
        <f t="shared" si="16"/>
        <v/>
      </c>
      <c r="B533" s="10"/>
      <c r="C533" s="5"/>
      <c r="D533" s="5"/>
      <c r="E533" s="11" t="str">
        <f>IF(D533="","",IFERROR(INDEX('Master Produk'!$B$2:$B$101,MATCH(D533,'Master Produk'!$A$2:$A$101,0)),"SKU tidak ada di master"))</f>
        <v/>
      </c>
      <c r="F533" s="6"/>
      <c r="G533" s="12" t="str">
        <f>IF(D533="","",IFERROR(INDEX('Master Produk'!$C$2:$C$101,MATCH(D533,'Master Produk'!$A$2:$A$101,0)),0)+SUMIFS(F$1:F532,D$1:D532,D533))</f>
        <v/>
      </c>
      <c r="H533" s="12" t="str">
        <f t="shared" si="17"/>
        <v/>
      </c>
      <c r="I533" s="5"/>
      <c r="J533" s="5"/>
      <c r="K533" s="11" t="str">
        <f>IF(D533="","",IF(ISNA(MATCH(D533,'Master Produk'!$A$2:$A$101,0)),"SKU tidak ada di master",IF(AND(C533="Stok masuk",F533&lt;0),"Stok masuk harus +",IF(AND(C533="Stok keluar",F533&gt;0),"Stok keluar harus -",IF(H533&lt;0,"Stok negatif","OK")))))</f>
        <v/>
      </c>
    </row>
    <row r="534" spans="1:11" x14ac:dyDescent="0.3">
      <c r="A534" s="9" t="str">
        <f t="shared" si="16"/>
        <v/>
      </c>
      <c r="B534" s="10"/>
      <c r="C534" s="5"/>
      <c r="D534" s="5"/>
      <c r="E534" s="11" t="str">
        <f>IF(D534="","",IFERROR(INDEX('Master Produk'!$B$2:$B$101,MATCH(D534,'Master Produk'!$A$2:$A$101,0)),"SKU tidak ada di master"))</f>
        <v/>
      </c>
      <c r="F534" s="6"/>
      <c r="G534" s="12" t="str">
        <f>IF(D534="","",IFERROR(INDEX('Master Produk'!$C$2:$C$101,MATCH(D534,'Master Produk'!$A$2:$A$101,0)),0)+SUMIFS(F$1:F533,D$1:D533,D534))</f>
        <v/>
      </c>
      <c r="H534" s="12" t="str">
        <f t="shared" si="17"/>
        <v/>
      </c>
      <c r="I534" s="5"/>
      <c r="J534" s="5"/>
      <c r="K534" s="11" t="str">
        <f>IF(D534="","",IF(ISNA(MATCH(D534,'Master Produk'!$A$2:$A$101,0)),"SKU tidak ada di master",IF(AND(C534="Stok masuk",F534&lt;0),"Stok masuk harus +",IF(AND(C534="Stok keluar",F534&gt;0),"Stok keluar harus -",IF(H534&lt;0,"Stok negatif","OK")))))</f>
        <v/>
      </c>
    </row>
    <row r="535" spans="1:11" x14ac:dyDescent="0.3">
      <c r="A535" s="9" t="str">
        <f t="shared" si="16"/>
        <v/>
      </c>
      <c r="B535" s="10"/>
      <c r="C535" s="5"/>
      <c r="D535" s="5"/>
      <c r="E535" s="11" t="str">
        <f>IF(D535="","",IFERROR(INDEX('Master Produk'!$B$2:$B$101,MATCH(D535,'Master Produk'!$A$2:$A$101,0)),"SKU tidak ada di master"))</f>
        <v/>
      </c>
      <c r="F535" s="6"/>
      <c r="G535" s="12" t="str">
        <f>IF(D535="","",IFERROR(INDEX('Master Produk'!$C$2:$C$101,MATCH(D535,'Master Produk'!$A$2:$A$101,0)),0)+SUMIFS(F$1:F534,D$1:D534,D535))</f>
        <v/>
      </c>
      <c r="H535" s="12" t="str">
        <f t="shared" si="17"/>
        <v/>
      </c>
      <c r="I535" s="5"/>
      <c r="J535" s="5"/>
      <c r="K535" s="11" t="str">
        <f>IF(D535="","",IF(ISNA(MATCH(D535,'Master Produk'!$A$2:$A$101,0)),"SKU tidak ada di master",IF(AND(C535="Stok masuk",F535&lt;0),"Stok masuk harus +",IF(AND(C535="Stok keluar",F535&gt;0),"Stok keluar harus -",IF(H535&lt;0,"Stok negatif","OK")))))</f>
        <v/>
      </c>
    </row>
    <row r="536" spans="1:11" x14ac:dyDescent="0.3">
      <c r="A536" s="9" t="str">
        <f t="shared" si="16"/>
        <v/>
      </c>
      <c r="B536" s="10"/>
      <c r="C536" s="5"/>
      <c r="D536" s="5"/>
      <c r="E536" s="11" t="str">
        <f>IF(D536="","",IFERROR(INDEX('Master Produk'!$B$2:$B$101,MATCH(D536,'Master Produk'!$A$2:$A$101,0)),"SKU tidak ada di master"))</f>
        <v/>
      </c>
      <c r="F536" s="6"/>
      <c r="G536" s="12" t="str">
        <f>IF(D536="","",IFERROR(INDEX('Master Produk'!$C$2:$C$101,MATCH(D536,'Master Produk'!$A$2:$A$101,0)),0)+SUMIFS(F$1:F535,D$1:D535,D536))</f>
        <v/>
      </c>
      <c r="H536" s="12" t="str">
        <f t="shared" si="17"/>
        <v/>
      </c>
      <c r="I536" s="5"/>
      <c r="J536" s="5"/>
      <c r="K536" s="11" t="str">
        <f>IF(D536="","",IF(ISNA(MATCH(D536,'Master Produk'!$A$2:$A$101,0)),"SKU tidak ada di master",IF(AND(C536="Stok masuk",F536&lt;0),"Stok masuk harus +",IF(AND(C536="Stok keluar",F536&gt;0),"Stok keluar harus -",IF(H536&lt;0,"Stok negatif","OK")))))</f>
        <v/>
      </c>
    </row>
    <row r="537" spans="1:11" x14ac:dyDescent="0.3">
      <c r="A537" s="9" t="str">
        <f t="shared" si="16"/>
        <v/>
      </c>
      <c r="B537" s="10"/>
      <c r="C537" s="5"/>
      <c r="D537" s="5"/>
      <c r="E537" s="11" t="str">
        <f>IF(D537="","",IFERROR(INDEX('Master Produk'!$B$2:$B$101,MATCH(D537,'Master Produk'!$A$2:$A$101,0)),"SKU tidak ada di master"))</f>
        <v/>
      </c>
      <c r="F537" s="6"/>
      <c r="G537" s="12" t="str">
        <f>IF(D537="","",IFERROR(INDEX('Master Produk'!$C$2:$C$101,MATCH(D537,'Master Produk'!$A$2:$A$101,0)),0)+SUMIFS(F$1:F536,D$1:D536,D537))</f>
        <v/>
      </c>
      <c r="H537" s="12" t="str">
        <f t="shared" si="17"/>
        <v/>
      </c>
      <c r="I537" s="5"/>
      <c r="J537" s="5"/>
      <c r="K537" s="11" t="str">
        <f>IF(D537="","",IF(ISNA(MATCH(D537,'Master Produk'!$A$2:$A$101,0)),"SKU tidak ada di master",IF(AND(C537="Stok masuk",F537&lt;0),"Stok masuk harus +",IF(AND(C537="Stok keluar",F537&gt;0),"Stok keluar harus -",IF(H537&lt;0,"Stok negatif","OK")))))</f>
        <v/>
      </c>
    </row>
    <row r="538" spans="1:11" x14ac:dyDescent="0.3">
      <c r="A538" s="9" t="str">
        <f t="shared" si="16"/>
        <v/>
      </c>
      <c r="B538" s="10"/>
      <c r="C538" s="5"/>
      <c r="D538" s="5"/>
      <c r="E538" s="11" t="str">
        <f>IF(D538="","",IFERROR(INDEX('Master Produk'!$B$2:$B$101,MATCH(D538,'Master Produk'!$A$2:$A$101,0)),"SKU tidak ada di master"))</f>
        <v/>
      </c>
      <c r="F538" s="6"/>
      <c r="G538" s="12" t="str">
        <f>IF(D538="","",IFERROR(INDEX('Master Produk'!$C$2:$C$101,MATCH(D538,'Master Produk'!$A$2:$A$101,0)),0)+SUMIFS(F$1:F537,D$1:D537,D538))</f>
        <v/>
      </c>
      <c r="H538" s="12" t="str">
        <f t="shared" si="17"/>
        <v/>
      </c>
      <c r="I538" s="5"/>
      <c r="J538" s="5"/>
      <c r="K538" s="11" t="str">
        <f>IF(D538="","",IF(ISNA(MATCH(D538,'Master Produk'!$A$2:$A$101,0)),"SKU tidak ada di master",IF(AND(C538="Stok masuk",F538&lt;0),"Stok masuk harus +",IF(AND(C538="Stok keluar",F538&gt;0),"Stok keluar harus -",IF(H538&lt;0,"Stok negatif","OK")))))</f>
        <v/>
      </c>
    </row>
    <row r="539" spans="1:11" x14ac:dyDescent="0.3">
      <c r="A539" s="9" t="str">
        <f t="shared" si="16"/>
        <v/>
      </c>
      <c r="B539" s="10"/>
      <c r="C539" s="5"/>
      <c r="D539" s="5"/>
      <c r="E539" s="11" t="str">
        <f>IF(D539="","",IFERROR(INDEX('Master Produk'!$B$2:$B$101,MATCH(D539,'Master Produk'!$A$2:$A$101,0)),"SKU tidak ada di master"))</f>
        <v/>
      </c>
      <c r="F539" s="6"/>
      <c r="G539" s="12" t="str">
        <f>IF(D539="","",IFERROR(INDEX('Master Produk'!$C$2:$C$101,MATCH(D539,'Master Produk'!$A$2:$A$101,0)),0)+SUMIFS(F$1:F538,D$1:D538,D539))</f>
        <v/>
      </c>
      <c r="H539" s="12" t="str">
        <f t="shared" si="17"/>
        <v/>
      </c>
      <c r="I539" s="5"/>
      <c r="J539" s="5"/>
      <c r="K539" s="11" t="str">
        <f>IF(D539="","",IF(ISNA(MATCH(D539,'Master Produk'!$A$2:$A$101,0)),"SKU tidak ada di master",IF(AND(C539="Stok masuk",F539&lt;0),"Stok masuk harus +",IF(AND(C539="Stok keluar",F539&gt;0),"Stok keluar harus -",IF(H539&lt;0,"Stok negatif","OK")))))</f>
        <v/>
      </c>
    </row>
    <row r="540" spans="1:11" x14ac:dyDescent="0.3">
      <c r="A540" s="9" t="str">
        <f t="shared" si="16"/>
        <v/>
      </c>
      <c r="B540" s="10"/>
      <c r="C540" s="5"/>
      <c r="D540" s="5"/>
      <c r="E540" s="11" t="str">
        <f>IF(D540="","",IFERROR(INDEX('Master Produk'!$B$2:$B$101,MATCH(D540,'Master Produk'!$A$2:$A$101,0)),"SKU tidak ada di master"))</f>
        <v/>
      </c>
      <c r="F540" s="6"/>
      <c r="G540" s="12" t="str">
        <f>IF(D540="","",IFERROR(INDEX('Master Produk'!$C$2:$C$101,MATCH(D540,'Master Produk'!$A$2:$A$101,0)),0)+SUMIFS(F$1:F539,D$1:D539,D540))</f>
        <v/>
      </c>
      <c r="H540" s="12" t="str">
        <f t="shared" si="17"/>
        <v/>
      </c>
      <c r="I540" s="5"/>
      <c r="J540" s="5"/>
      <c r="K540" s="11" t="str">
        <f>IF(D540="","",IF(ISNA(MATCH(D540,'Master Produk'!$A$2:$A$101,0)),"SKU tidak ada di master",IF(AND(C540="Stok masuk",F540&lt;0),"Stok masuk harus +",IF(AND(C540="Stok keluar",F540&gt;0),"Stok keluar harus -",IF(H540&lt;0,"Stok negatif","OK")))))</f>
        <v/>
      </c>
    </row>
    <row r="541" spans="1:11" x14ac:dyDescent="0.3">
      <c r="A541" s="9" t="str">
        <f t="shared" si="16"/>
        <v/>
      </c>
      <c r="B541" s="10"/>
      <c r="C541" s="5"/>
      <c r="D541" s="5"/>
      <c r="E541" s="11" t="str">
        <f>IF(D541="","",IFERROR(INDEX('Master Produk'!$B$2:$B$101,MATCH(D541,'Master Produk'!$A$2:$A$101,0)),"SKU tidak ada di master"))</f>
        <v/>
      </c>
      <c r="F541" s="6"/>
      <c r="G541" s="12" t="str">
        <f>IF(D541="","",IFERROR(INDEX('Master Produk'!$C$2:$C$101,MATCH(D541,'Master Produk'!$A$2:$A$101,0)),0)+SUMIFS(F$1:F540,D$1:D540,D541))</f>
        <v/>
      </c>
      <c r="H541" s="12" t="str">
        <f t="shared" si="17"/>
        <v/>
      </c>
      <c r="I541" s="5"/>
      <c r="J541" s="5"/>
      <c r="K541" s="11" t="str">
        <f>IF(D541="","",IF(ISNA(MATCH(D541,'Master Produk'!$A$2:$A$101,0)),"SKU tidak ada di master",IF(AND(C541="Stok masuk",F541&lt;0),"Stok masuk harus +",IF(AND(C541="Stok keluar",F541&gt;0),"Stok keluar harus -",IF(H541&lt;0,"Stok negatif","OK")))))</f>
        <v/>
      </c>
    </row>
    <row r="542" spans="1:11" x14ac:dyDescent="0.3">
      <c r="A542" s="9" t="str">
        <f t="shared" si="16"/>
        <v/>
      </c>
      <c r="B542" s="10"/>
      <c r="C542" s="5"/>
      <c r="D542" s="5"/>
      <c r="E542" s="11" t="str">
        <f>IF(D542="","",IFERROR(INDEX('Master Produk'!$B$2:$B$101,MATCH(D542,'Master Produk'!$A$2:$A$101,0)),"SKU tidak ada di master"))</f>
        <v/>
      </c>
      <c r="F542" s="6"/>
      <c r="G542" s="12" t="str">
        <f>IF(D542="","",IFERROR(INDEX('Master Produk'!$C$2:$C$101,MATCH(D542,'Master Produk'!$A$2:$A$101,0)),0)+SUMIFS(F$1:F541,D$1:D541,D542))</f>
        <v/>
      </c>
      <c r="H542" s="12" t="str">
        <f t="shared" si="17"/>
        <v/>
      </c>
      <c r="I542" s="5"/>
      <c r="J542" s="5"/>
      <c r="K542" s="11" t="str">
        <f>IF(D542="","",IF(ISNA(MATCH(D542,'Master Produk'!$A$2:$A$101,0)),"SKU tidak ada di master",IF(AND(C542="Stok masuk",F542&lt;0),"Stok masuk harus +",IF(AND(C542="Stok keluar",F542&gt;0),"Stok keluar harus -",IF(H542&lt;0,"Stok negatif","OK")))))</f>
        <v/>
      </c>
    </row>
    <row r="543" spans="1:11" x14ac:dyDescent="0.3">
      <c r="A543" s="9" t="str">
        <f t="shared" si="16"/>
        <v/>
      </c>
      <c r="B543" s="10"/>
      <c r="C543" s="5"/>
      <c r="D543" s="5"/>
      <c r="E543" s="11" t="str">
        <f>IF(D543="","",IFERROR(INDEX('Master Produk'!$B$2:$B$101,MATCH(D543,'Master Produk'!$A$2:$A$101,0)),"SKU tidak ada di master"))</f>
        <v/>
      </c>
      <c r="F543" s="6"/>
      <c r="G543" s="12" t="str">
        <f>IF(D543="","",IFERROR(INDEX('Master Produk'!$C$2:$C$101,MATCH(D543,'Master Produk'!$A$2:$A$101,0)),0)+SUMIFS(F$1:F542,D$1:D542,D543))</f>
        <v/>
      </c>
      <c r="H543" s="12" t="str">
        <f t="shared" si="17"/>
        <v/>
      </c>
      <c r="I543" s="5"/>
      <c r="J543" s="5"/>
      <c r="K543" s="11" t="str">
        <f>IF(D543="","",IF(ISNA(MATCH(D543,'Master Produk'!$A$2:$A$101,0)),"SKU tidak ada di master",IF(AND(C543="Stok masuk",F543&lt;0),"Stok masuk harus +",IF(AND(C543="Stok keluar",F543&gt;0),"Stok keluar harus -",IF(H543&lt;0,"Stok negatif","OK")))))</f>
        <v/>
      </c>
    </row>
    <row r="544" spans="1:11" x14ac:dyDescent="0.3">
      <c r="A544" s="9" t="str">
        <f t="shared" si="16"/>
        <v/>
      </c>
      <c r="B544" s="10"/>
      <c r="C544" s="5"/>
      <c r="D544" s="5"/>
      <c r="E544" s="11" t="str">
        <f>IF(D544="","",IFERROR(INDEX('Master Produk'!$B$2:$B$101,MATCH(D544,'Master Produk'!$A$2:$A$101,0)),"SKU tidak ada di master"))</f>
        <v/>
      </c>
      <c r="F544" s="6"/>
      <c r="G544" s="12" t="str">
        <f>IF(D544="","",IFERROR(INDEX('Master Produk'!$C$2:$C$101,MATCH(D544,'Master Produk'!$A$2:$A$101,0)),0)+SUMIFS(F$1:F543,D$1:D543,D544))</f>
        <v/>
      </c>
      <c r="H544" s="12" t="str">
        <f t="shared" si="17"/>
        <v/>
      </c>
      <c r="I544" s="5"/>
      <c r="J544" s="5"/>
      <c r="K544" s="11" t="str">
        <f>IF(D544="","",IF(ISNA(MATCH(D544,'Master Produk'!$A$2:$A$101,0)),"SKU tidak ada di master",IF(AND(C544="Stok masuk",F544&lt;0),"Stok masuk harus +",IF(AND(C544="Stok keluar",F544&gt;0),"Stok keluar harus -",IF(H544&lt;0,"Stok negatif","OK")))))</f>
        <v/>
      </c>
    </row>
    <row r="545" spans="1:11" x14ac:dyDescent="0.3">
      <c r="A545" s="9" t="str">
        <f t="shared" si="16"/>
        <v/>
      </c>
      <c r="B545" s="10"/>
      <c r="C545" s="5"/>
      <c r="D545" s="5"/>
      <c r="E545" s="11" t="str">
        <f>IF(D545="","",IFERROR(INDEX('Master Produk'!$B$2:$B$101,MATCH(D545,'Master Produk'!$A$2:$A$101,0)),"SKU tidak ada di master"))</f>
        <v/>
      </c>
      <c r="F545" s="6"/>
      <c r="G545" s="12" t="str">
        <f>IF(D545="","",IFERROR(INDEX('Master Produk'!$C$2:$C$101,MATCH(D545,'Master Produk'!$A$2:$A$101,0)),0)+SUMIFS(F$1:F544,D$1:D544,D545))</f>
        <v/>
      </c>
      <c r="H545" s="12" t="str">
        <f t="shared" si="17"/>
        <v/>
      </c>
      <c r="I545" s="5"/>
      <c r="J545" s="5"/>
      <c r="K545" s="11" t="str">
        <f>IF(D545="","",IF(ISNA(MATCH(D545,'Master Produk'!$A$2:$A$101,0)),"SKU tidak ada di master",IF(AND(C545="Stok masuk",F545&lt;0),"Stok masuk harus +",IF(AND(C545="Stok keluar",F545&gt;0),"Stok keluar harus -",IF(H545&lt;0,"Stok negatif","OK")))))</f>
        <v/>
      </c>
    </row>
    <row r="546" spans="1:11" x14ac:dyDescent="0.3">
      <c r="A546" s="9" t="str">
        <f t="shared" si="16"/>
        <v/>
      </c>
      <c r="B546" s="10"/>
      <c r="C546" s="5"/>
      <c r="D546" s="5"/>
      <c r="E546" s="11" t="str">
        <f>IF(D546="","",IFERROR(INDEX('Master Produk'!$B$2:$B$101,MATCH(D546,'Master Produk'!$A$2:$A$101,0)),"SKU tidak ada di master"))</f>
        <v/>
      </c>
      <c r="F546" s="6"/>
      <c r="G546" s="12" t="str">
        <f>IF(D546="","",IFERROR(INDEX('Master Produk'!$C$2:$C$101,MATCH(D546,'Master Produk'!$A$2:$A$101,0)),0)+SUMIFS(F$1:F545,D$1:D545,D546))</f>
        <v/>
      </c>
      <c r="H546" s="12" t="str">
        <f t="shared" si="17"/>
        <v/>
      </c>
      <c r="I546" s="5"/>
      <c r="J546" s="5"/>
      <c r="K546" s="11" t="str">
        <f>IF(D546="","",IF(ISNA(MATCH(D546,'Master Produk'!$A$2:$A$101,0)),"SKU tidak ada di master",IF(AND(C546="Stok masuk",F546&lt;0),"Stok masuk harus +",IF(AND(C546="Stok keluar",F546&gt;0),"Stok keluar harus -",IF(H546&lt;0,"Stok negatif","OK")))))</f>
        <v/>
      </c>
    </row>
    <row r="547" spans="1:11" x14ac:dyDescent="0.3">
      <c r="A547" s="9" t="str">
        <f t="shared" si="16"/>
        <v/>
      </c>
      <c r="B547" s="10"/>
      <c r="C547" s="5"/>
      <c r="D547" s="5"/>
      <c r="E547" s="11" t="str">
        <f>IF(D547="","",IFERROR(INDEX('Master Produk'!$B$2:$B$101,MATCH(D547,'Master Produk'!$A$2:$A$101,0)),"SKU tidak ada di master"))</f>
        <v/>
      </c>
      <c r="F547" s="6"/>
      <c r="G547" s="12" t="str">
        <f>IF(D547="","",IFERROR(INDEX('Master Produk'!$C$2:$C$101,MATCH(D547,'Master Produk'!$A$2:$A$101,0)),0)+SUMIFS(F$1:F546,D$1:D546,D547))</f>
        <v/>
      </c>
      <c r="H547" s="12" t="str">
        <f t="shared" si="17"/>
        <v/>
      </c>
      <c r="I547" s="5"/>
      <c r="J547" s="5"/>
      <c r="K547" s="11" t="str">
        <f>IF(D547="","",IF(ISNA(MATCH(D547,'Master Produk'!$A$2:$A$101,0)),"SKU tidak ada di master",IF(AND(C547="Stok masuk",F547&lt;0),"Stok masuk harus +",IF(AND(C547="Stok keluar",F547&gt;0),"Stok keluar harus -",IF(H547&lt;0,"Stok negatif","OK")))))</f>
        <v/>
      </c>
    </row>
    <row r="548" spans="1:11" x14ac:dyDescent="0.3">
      <c r="A548" s="9" t="str">
        <f t="shared" si="16"/>
        <v/>
      </c>
      <c r="B548" s="10"/>
      <c r="C548" s="5"/>
      <c r="D548" s="5"/>
      <c r="E548" s="11" t="str">
        <f>IF(D548="","",IFERROR(INDEX('Master Produk'!$B$2:$B$101,MATCH(D548,'Master Produk'!$A$2:$A$101,0)),"SKU tidak ada di master"))</f>
        <v/>
      </c>
      <c r="F548" s="6"/>
      <c r="G548" s="12" t="str">
        <f>IF(D548="","",IFERROR(INDEX('Master Produk'!$C$2:$C$101,MATCH(D548,'Master Produk'!$A$2:$A$101,0)),0)+SUMIFS(F$1:F547,D$1:D547,D548))</f>
        <v/>
      </c>
      <c r="H548" s="12" t="str">
        <f t="shared" si="17"/>
        <v/>
      </c>
      <c r="I548" s="5"/>
      <c r="J548" s="5"/>
      <c r="K548" s="11" t="str">
        <f>IF(D548="","",IF(ISNA(MATCH(D548,'Master Produk'!$A$2:$A$101,0)),"SKU tidak ada di master",IF(AND(C548="Stok masuk",F548&lt;0),"Stok masuk harus +",IF(AND(C548="Stok keluar",F548&gt;0),"Stok keluar harus -",IF(H548&lt;0,"Stok negatif","OK")))))</f>
        <v/>
      </c>
    </row>
    <row r="549" spans="1:11" x14ac:dyDescent="0.3">
      <c r="A549" s="9" t="str">
        <f t="shared" si="16"/>
        <v/>
      </c>
      <c r="B549" s="10"/>
      <c r="C549" s="5"/>
      <c r="D549" s="5"/>
      <c r="E549" s="11" t="str">
        <f>IF(D549="","",IFERROR(INDEX('Master Produk'!$B$2:$B$101,MATCH(D549,'Master Produk'!$A$2:$A$101,0)),"SKU tidak ada di master"))</f>
        <v/>
      </c>
      <c r="F549" s="6"/>
      <c r="G549" s="12" t="str">
        <f>IF(D549="","",IFERROR(INDEX('Master Produk'!$C$2:$C$101,MATCH(D549,'Master Produk'!$A$2:$A$101,0)),0)+SUMIFS(F$1:F548,D$1:D548,D549))</f>
        <v/>
      </c>
      <c r="H549" s="12" t="str">
        <f t="shared" si="17"/>
        <v/>
      </c>
      <c r="I549" s="5"/>
      <c r="J549" s="5"/>
      <c r="K549" s="11" t="str">
        <f>IF(D549="","",IF(ISNA(MATCH(D549,'Master Produk'!$A$2:$A$101,0)),"SKU tidak ada di master",IF(AND(C549="Stok masuk",F549&lt;0),"Stok masuk harus +",IF(AND(C549="Stok keluar",F549&gt;0),"Stok keluar harus -",IF(H549&lt;0,"Stok negatif","OK")))))</f>
        <v/>
      </c>
    </row>
    <row r="550" spans="1:11" x14ac:dyDescent="0.3">
      <c r="A550" s="9" t="str">
        <f t="shared" si="16"/>
        <v/>
      </c>
      <c r="B550" s="10"/>
      <c r="C550" s="5"/>
      <c r="D550" s="5"/>
      <c r="E550" s="11" t="str">
        <f>IF(D550="","",IFERROR(INDEX('Master Produk'!$B$2:$B$101,MATCH(D550,'Master Produk'!$A$2:$A$101,0)),"SKU tidak ada di master"))</f>
        <v/>
      </c>
      <c r="F550" s="6"/>
      <c r="G550" s="12" t="str">
        <f>IF(D550="","",IFERROR(INDEX('Master Produk'!$C$2:$C$101,MATCH(D550,'Master Produk'!$A$2:$A$101,0)),0)+SUMIFS(F$1:F549,D$1:D549,D550))</f>
        <v/>
      </c>
      <c r="H550" s="12" t="str">
        <f t="shared" si="17"/>
        <v/>
      </c>
      <c r="I550" s="5"/>
      <c r="J550" s="5"/>
      <c r="K550" s="11" t="str">
        <f>IF(D550="","",IF(ISNA(MATCH(D550,'Master Produk'!$A$2:$A$101,0)),"SKU tidak ada di master",IF(AND(C550="Stok masuk",F550&lt;0),"Stok masuk harus +",IF(AND(C550="Stok keluar",F550&gt;0),"Stok keluar harus -",IF(H550&lt;0,"Stok negatif","OK")))))</f>
        <v/>
      </c>
    </row>
    <row r="551" spans="1:11" x14ac:dyDescent="0.3">
      <c r="A551" s="9" t="str">
        <f t="shared" si="16"/>
        <v/>
      </c>
      <c r="B551" s="10"/>
      <c r="C551" s="5"/>
      <c r="D551" s="5"/>
      <c r="E551" s="11" t="str">
        <f>IF(D551="","",IFERROR(INDEX('Master Produk'!$B$2:$B$101,MATCH(D551,'Master Produk'!$A$2:$A$101,0)),"SKU tidak ada di master"))</f>
        <v/>
      </c>
      <c r="F551" s="6"/>
      <c r="G551" s="12" t="str">
        <f>IF(D551="","",IFERROR(INDEX('Master Produk'!$C$2:$C$101,MATCH(D551,'Master Produk'!$A$2:$A$101,0)),0)+SUMIFS(F$1:F550,D$1:D550,D551))</f>
        <v/>
      </c>
      <c r="H551" s="12" t="str">
        <f t="shared" si="17"/>
        <v/>
      </c>
      <c r="I551" s="5"/>
      <c r="J551" s="5"/>
      <c r="K551" s="11" t="str">
        <f>IF(D551="","",IF(ISNA(MATCH(D551,'Master Produk'!$A$2:$A$101,0)),"SKU tidak ada di master",IF(AND(C551="Stok masuk",F551&lt;0),"Stok masuk harus +",IF(AND(C551="Stok keluar",F551&gt;0),"Stok keluar harus -",IF(H551&lt;0,"Stok negatif","OK")))))</f>
        <v/>
      </c>
    </row>
    <row r="552" spans="1:11" x14ac:dyDescent="0.3">
      <c r="A552" s="9" t="str">
        <f t="shared" si="16"/>
        <v/>
      </c>
      <c r="B552" s="10"/>
      <c r="C552" s="5"/>
      <c r="D552" s="5"/>
      <c r="E552" s="11" t="str">
        <f>IF(D552="","",IFERROR(INDEX('Master Produk'!$B$2:$B$101,MATCH(D552,'Master Produk'!$A$2:$A$101,0)),"SKU tidak ada di master"))</f>
        <v/>
      </c>
      <c r="F552" s="6"/>
      <c r="G552" s="12" t="str">
        <f>IF(D552="","",IFERROR(INDEX('Master Produk'!$C$2:$C$101,MATCH(D552,'Master Produk'!$A$2:$A$101,0)),0)+SUMIFS(F$1:F551,D$1:D551,D552))</f>
        <v/>
      </c>
      <c r="H552" s="12" t="str">
        <f t="shared" si="17"/>
        <v/>
      </c>
      <c r="I552" s="5"/>
      <c r="J552" s="5"/>
      <c r="K552" s="11" t="str">
        <f>IF(D552="","",IF(ISNA(MATCH(D552,'Master Produk'!$A$2:$A$101,0)),"SKU tidak ada di master",IF(AND(C552="Stok masuk",F552&lt;0),"Stok masuk harus +",IF(AND(C552="Stok keluar",F552&gt;0),"Stok keluar harus -",IF(H552&lt;0,"Stok negatif","OK")))))</f>
        <v/>
      </c>
    </row>
    <row r="553" spans="1:11" x14ac:dyDescent="0.3">
      <c r="A553" s="9" t="str">
        <f t="shared" si="16"/>
        <v/>
      </c>
      <c r="B553" s="10"/>
      <c r="C553" s="5"/>
      <c r="D553" s="5"/>
      <c r="E553" s="11" t="str">
        <f>IF(D553="","",IFERROR(INDEX('Master Produk'!$B$2:$B$101,MATCH(D553,'Master Produk'!$A$2:$A$101,0)),"SKU tidak ada di master"))</f>
        <v/>
      </c>
      <c r="F553" s="6"/>
      <c r="G553" s="12" t="str">
        <f>IF(D553="","",IFERROR(INDEX('Master Produk'!$C$2:$C$101,MATCH(D553,'Master Produk'!$A$2:$A$101,0)),0)+SUMIFS(F$1:F552,D$1:D552,D553))</f>
        <v/>
      </c>
      <c r="H553" s="12" t="str">
        <f t="shared" si="17"/>
        <v/>
      </c>
      <c r="I553" s="5"/>
      <c r="J553" s="5"/>
      <c r="K553" s="11" t="str">
        <f>IF(D553="","",IF(ISNA(MATCH(D553,'Master Produk'!$A$2:$A$101,0)),"SKU tidak ada di master",IF(AND(C553="Stok masuk",F553&lt;0),"Stok masuk harus +",IF(AND(C553="Stok keluar",F553&gt;0),"Stok keluar harus -",IF(H553&lt;0,"Stok negatif","OK")))))</f>
        <v/>
      </c>
    </row>
    <row r="554" spans="1:11" x14ac:dyDescent="0.3">
      <c r="A554" s="9" t="str">
        <f t="shared" si="16"/>
        <v/>
      </c>
      <c r="B554" s="10"/>
      <c r="C554" s="5"/>
      <c r="D554" s="5"/>
      <c r="E554" s="11" t="str">
        <f>IF(D554="","",IFERROR(INDEX('Master Produk'!$B$2:$B$101,MATCH(D554,'Master Produk'!$A$2:$A$101,0)),"SKU tidak ada di master"))</f>
        <v/>
      </c>
      <c r="F554" s="6"/>
      <c r="G554" s="12" t="str">
        <f>IF(D554="","",IFERROR(INDEX('Master Produk'!$C$2:$C$101,MATCH(D554,'Master Produk'!$A$2:$A$101,0)),0)+SUMIFS(F$1:F553,D$1:D553,D554))</f>
        <v/>
      </c>
      <c r="H554" s="12" t="str">
        <f t="shared" si="17"/>
        <v/>
      </c>
      <c r="I554" s="5"/>
      <c r="J554" s="5"/>
      <c r="K554" s="11" t="str">
        <f>IF(D554="","",IF(ISNA(MATCH(D554,'Master Produk'!$A$2:$A$101,0)),"SKU tidak ada di master",IF(AND(C554="Stok masuk",F554&lt;0),"Stok masuk harus +",IF(AND(C554="Stok keluar",F554&gt;0),"Stok keluar harus -",IF(H554&lt;0,"Stok negatif","OK")))))</f>
        <v/>
      </c>
    </row>
    <row r="555" spans="1:11" x14ac:dyDescent="0.3">
      <c r="A555" s="9" t="str">
        <f t="shared" si="16"/>
        <v/>
      </c>
      <c r="B555" s="10"/>
      <c r="C555" s="5"/>
      <c r="D555" s="5"/>
      <c r="E555" s="11" t="str">
        <f>IF(D555="","",IFERROR(INDEX('Master Produk'!$B$2:$B$101,MATCH(D555,'Master Produk'!$A$2:$A$101,0)),"SKU tidak ada di master"))</f>
        <v/>
      </c>
      <c r="F555" s="6"/>
      <c r="G555" s="12" t="str">
        <f>IF(D555="","",IFERROR(INDEX('Master Produk'!$C$2:$C$101,MATCH(D555,'Master Produk'!$A$2:$A$101,0)),0)+SUMIFS(F$1:F554,D$1:D554,D555))</f>
        <v/>
      </c>
      <c r="H555" s="12" t="str">
        <f t="shared" si="17"/>
        <v/>
      </c>
      <c r="I555" s="5"/>
      <c r="J555" s="5"/>
      <c r="K555" s="11" t="str">
        <f>IF(D555="","",IF(ISNA(MATCH(D555,'Master Produk'!$A$2:$A$101,0)),"SKU tidak ada di master",IF(AND(C555="Stok masuk",F555&lt;0),"Stok masuk harus +",IF(AND(C555="Stok keluar",F555&gt;0),"Stok keluar harus -",IF(H555&lt;0,"Stok negatif","OK")))))</f>
        <v/>
      </c>
    </row>
    <row r="556" spans="1:11" x14ac:dyDescent="0.3">
      <c r="A556" s="9" t="str">
        <f t="shared" si="16"/>
        <v/>
      </c>
      <c r="B556" s="10"/>
      <c r="C556" s="5"/>
      <c r="D556" s="5"/>
      <c r="E556" s="11" t="str">
        <f>IF(D556="","",IFERROR(INDEX('Master Produk'!$B$2:$B$101,MATCH(D556,'Master Produk'!$A$2:$A$101,0)),"SKU tidak ada di master"))</f>
        <v/>
      </c>
      <c r="F556" s="6"/>
      <c r="G556" s="12" t="str">
        <f>IF(D556="","",IFERROR(INDEX('Master Produk'!$C$2:$C$101,MATCH(D556,'Master Produk'!$A$2:$A$101,0)),0)+SUMIFS(F$1:F555,D$1:D555,D556))</f>
        <v/>
      </c>
      <c r="H556" s="12" t="str">
        <f t="shared" si="17"/>
        <v/>
      </c>
      <c r="I556" s="5"/>
      <c r="J556" s="5"/>
      <c r="K556" s="11" t="str">
        <f>IF(D556="","",IF(ISNA(MATCH(D556,'Master Produk'!$A$2:$A$101,0)),"SKU tidak ada di master",IF(AND(C556="Stok masuk",F556&lt;0),"Stok masuk harus +",IF(AND(C556="Stok keluar",F556&gt;0),"Stok keluar harus -",IF(H556&lt;0,"Stok negatif","OK")))))</f>
        <v/>
      </c>
    </row>
    <row r="557" spans="1:11" x14ac:dyDescent="0.3">
      <c r="A557" s="9" t="str">
        <f t="shared" si="16"/>
        <v/>
      </c>
      <c r="B557" s="10"/>
      <c r="C557" s="5"/>
      <c r="D557" s="5"/>
      <c r="E557" s="11" t="str">
        <f>IF(D557="","",IFERROR(INDEX('Master Produk'!$B$2:$B$101,MATCH(D557,'Master Produk'!$A$2:$A$101,0)),"SKU tidak ada di master"))</f>
        <v/>
      </c>
      <c r="F557" s="6"/>
      <c r="G557" s="12" t="str">
        <f>IF(D557="","",IFERROR(INDEX('Master Produk'!$C$2:$C$101,MATCH(D557,'Master Produk'!$A$2:$A$101,0)),0)+SUMIFS(F$1:F556,D$1:D556,D557))</f>
        <v/>
      </c>
      <c r="H557" s="12" t="str">
        <f t="shared" si="17"/>
        <v/>
      </c>
      <c r="I557" s="5"/>
      <c r="J557" s="5"/>
      <c r="K557" s="11" t="str">
        <f>IF(D557="","",IF(ISNA(MATCH(D557,'Master Produk'!$A$2:$A$101,0)),"SKU tidak ada di master",IF(AND(C557="Stok masuk",F557&lt;0),"Stok masuk harus +",IF(AND(C557="Stok keluar",F557&gt;0),"Stok keluar harus -",IF(H557&lt;0,"Stok negatif","OK")))))</f>
        <v/>
      </c>
    </row>
    <row r="558" spans="1:11" x14ac:dyDescent="0.3">
      <c r="A558" s="9" t="str">
        <f t="shared" si="16"/>
        <v/>
      </c>
      <c r="B558" s="10"/>
      <c r="C558" s="5"/>
      <c r="D558" s="5"/>
      <c r="E558" s="11" t="str">
        <f>IF(D558="","",IFERROR(INDEX('Master Produk'!$B$2:$B$101,MATCH(D558,'Master Produk'!$A$2:$A$101,0)),"SKU tidak ada di master"))</f>
        <v/>
      </c>
      <c r="F558" s="6"/>
      <c r="G558" s="12" t="str">
        <f>IF(D558="","",IFERROR(INDEX('Master Produk'!$C$2:$C$101,MATCH(D558,'Master Produk'!$A$2:$A$101,0)),0)+SUMIFS(F$1:F557,D$1:D557,D558))</f>
        <v/>
      </c>
      <c r="H558" s="12" t="str">
        <f t="shared" si="17"/>
        <v/>
      </c>
      <c r="I558" s="5"/>
      <c r="J558" s="5"/>
      <c r="K558" s="11" t="str">
        <f>IF(D558="","",IF(ISNA(MATCH(D558,'Master Produk'!$A$2:$A$101,0)),"SKU tidak ada di master",IF(AND(C558="Stok masuk",F558&lt;0),"Stok masuk harus +",IF(AND(C558="Stok keluar",F558&gt;0),"Stok keluar harus -",IF(H558&lt;0,"Stok negatif","OK")))))</f>
        <v/>
      </c>
    </row>
    <row r="559" spans="1:11" x14ac:dyDescent="0.3">
      <c r="A559" s="9" t="str">
        <f t="shared" si="16"/>
        <v/>
      </c>
      <c r="B559" s="10"/>
      <c r="C559" s="5"/>
      <c r="D559" s="5"/>
      <c r="E559" s="11" t="str">
        <f>IF(D559="","",IFERROR(INDEX('Master Produk'!$B$2:$B$101,MATCH(D559,'Master Produk'!$A$2:$A$101,0)),"SKU tidak ada di master"))</f>
        <v/>
      </c>
      <c r="F559" s="6"/>
      <c r="G559" s="12" t="str">
        <f>IF(D559="","",IFERROR(INDEX('Master Produk'!$C$2:$C$101,MATCH(D559,'Master Produk'!$A$2:$A$101,0)),0)+SUMIFS(F$1:F558,D$1:D558,D559))</f>
        <v/>
      </c>
      <c r="H559" s="12" t="str">
        <f t="shared" si="17"/>
        <v/>
      </c>
      <c r="I559" s="5"/>
      <c r="J559" s="5"/>
      <c r="K559" s="11" t="str">
        <f>IF(D559="","",IF(ISNA(MATCH(D559,'Master Produk'!$A$2:$A$101,0)),"SKU tidak ada di master",IF(AND(C559="Stok masuk",F559&lt;0),"Stok masuk harus +",IF(AND(C559="Stok keluar",F559&gt;0),"Stok keluar harus -",IF(H559&lt;0,"Stok negatif","OK")))))</f>
        <v/>
      </c>
    </row>
    <row r="560" spans="1:11" x14ac:dyDescent="0.3">
      <c r="A560" s="9" t="str">
        <f t="shared" si="16"/>
        <v/>
      </c>
      <c r="B560" s="10"/>
      <c r="C560" s="5"/>
      <c r="D560" s="5"/>
      <c r="E560" s="11" t="str">
        <f>IF(D560="","",IFERROR(INDEX('Master Produk'!$B$2:$B$101,MATCH(D560,'Master Produk'!$A$2:$A$101,0)),"SKU tidak ada di master"))</f>
        <v/>
      </c>
      <c r="F560" s="6"/>
      <c r="G560" s="12" t="str">
        <f>IF(D560="","",IFERROR(INDEX('Master Produk'!$C$2:$C$101,MATCH(D560,'Master Produk'!$A$2:$A$101,0)),0)+SUMIFS(F$1:F559,D$1:D559,D560))</f>
        <v/>
      </c>
      <c r="H560" s="12" t="str">
        <f t="shared" si="17"/>
        <v/>
      </c>
      <c r="I560" s="5"/>
      <c r="J560" s="5"/>
      <c r="K560" s="11" t="str">
        <f>IF(D560="","",IF(ISNA(MATCH(D560,'Master Produk'!$A$2:$A$101,0)),"SKU tidak ada di master",IF(AND(C560="Stok masuk",F560&lt;0),"Stok masuk harus +",IF(AND(C560="Stok keluar",F560&gt;0),"Stok keluar harus -",IF(H560&lt;0,"Stok negatif","OK")))))</f>
        <v/>
      </c>
    </row>
    <row r="561" spans="1:11" x14ac:dyDescent="0.3">
      <c r="A561" s="9" t="str">
        <f t="shared" si="16"/>
        <v/>
      </c>
      <c r="B561" s="10"/>
      <c r="C561" s="5"/>
      <c r="D561" s="5"/>
      <c r="E561" s="11" t="str">
        <f>IF(D561="","",IFERROR(INDEX('Master Produk'!$B$2:$B$101,MATCH(D561,'Master Produk'!$A$2:$A$101,0)),"SKU tidak ada di master"))</f>
        <v/>
      </c>
      <c r="F561" s="6"/>
      <c r="G561" s="12" t="str">
        <f>IF(D561="","",IFERROR(INDEX('Master Produk'!$C$2:$C$101,MATCH(D561,'Master Produk'!$A$2:$A$101,0)),0)+SUMIFS(F$1:F560,D$1:D560,D561))</f>
        <v/>
      </c>
      <c r="H561" s="12" t="str">
        <f t="shared" si="17"/>
        <v/>
      </c>
      <c r="I561" s="5"/>
      <c r="J561" s="5"/>
      <c r="K561" s="11" t="str">
        <f>IF(D561="","",IF(ISNA(MATCH(D561,'Master Produk'!$A$2:$A$101,0)),"SKU tidak ada di master",IF(AND(C561="Stok masuk",F561&lt;0),"Stok masuk harus +",IF(AND(C561="Stok keluar",F561&gt;0),"Stok keluar harus -",IF(H561&lt;0,"Stok negatif","OK")))))</f>
        <v/>
      </c>
    </row>
    <row r="562" spans="1:11" x14ac:dyDescent="0.3">
      <c r="A562" s="9" t="str">
        <f t="shared" si="16"/>
        <v/>
      </c>
      <c r="B562" s="10"/>
      <c r="C562" s="5"/>
      <c r="D562" s="5"/>
      <c r="E562" s="11" t="str">
        <f>IF(D562="","",IFERROR(INDEX('Master Produk'!$B$2:$B$101,MATCH(D562,'Master Produk'!$A$2:$A$101,0)),"SKU tidak ada di master"))</f>
        <v/>
      </c>
      <c r="F562" s="6"/>
      <c r="G562" s="12" t="str">
        <f>IF(D562="","",IFERROR(INDEX('Master Produk'!$C$2:$C$101,MATCH(D562,'Master Produk'!$A$2:$A$101,0)),0)+SUMIFS(F$1:F561,D$1:D561,D562))</f>
        <v/>
      </c>
      <c r="H562" s="12" t="str">
        <f t="shared" si="17"/>
        <v/>
      </c>
      <c r="I562" s="5"/>
      <c r="J562" s="5"/>
      <c r="K562" s="11" t="str">
        <f>IF(D562="","",IF(ISNA(MATCH(D562,'Master Produk'!$A$2:$A$101,0)),"SKU tidak ada di master",IF(AND(C562="Stok masuk",F562&lt;0),"Stok masuk harus +",IF(AND(C562="Stok keluar",F562&gt;0),"Stok keluar harus -",IF(H562&lt;0,"Stok negatif","OK")))))</f>
        <v/>
      </c>
    </row>
    <row r="563" spans="1:11" x14ac:dyDescent="0.3">
      <c r="A563" s="9" t="str">
        <f t="shared" si="16"/>
        <v/>
      </c>
      <c r="B563" s="10"/>
      <c r="C563" s="5"/>
      <c r="D563" s="5"/>
      <c r="E563" s="11" t="str">
        <f>IF(D563="","",IFERROR(INDEX('Master Produk'!$B$2:$B$101,MATCH(D563,'Master Produk'!$A$2:$A$101,0)),"SKU tidak ada di master"))</f>
        <v/>
      </c>
      <c r="F563" s="6"/>
      <c r="G563" s="12" t="str">
        <f>IF(D563="","",IFERROR(INDEX('Master Produk'!$C$2:$C$101,MATCH(D563,'Master Produk'!$A$2:$A$101,0)),0)+SUMIFS(F$1:F562,D$1:D562,D563))</f>
        <v/>
      </c>
      <c r="H563" s="12" t="str">
        <f t="shared" si="17"/>
        <v/>
      </c>
      <c r="I563" s="5"/>
      <c r="J563" s="5"/>
      <c r="K563" s="11" t="str">
        <f>IF(D563="","",IF(ISNA(MATCH(D563,'Master Produk'!$A$2:$A$101,0)),"SKU tidak ada di master",IF(AND(C563="Stok masuk",F563&lt;0),"Stok masuk harus +",IF(AND(C563="Stok keluar",F563&gt;0),"Stok keluar harus -",IF(H563&lt;0,"Stok negatif","OK")))))</f>
        <v/>
      </c>
    </row>
    <row r="564" spans="1:11" x14ac:dyDescent="0.3">
      <c r="A564" s="9" t="str">
        <f t="shared" si="16"/>
        <v/>
      </c>
      <c r="B564" s="10"/>
      <c r="C564" s="5"/>
      <c r="D564" s="5"/>
      <c r="E564" s="11" t="str">
        <f>IF(D564="","",IFERROR(INDEX('Master Produk'!$B$2:$B$101,MATCH(D564,'Master Produk'!$A$2:$A$101,0)),"SKU tidak ada di master"))</f>
        <v/>
      </c>
      <c r="F564" s="6"/>
      <c r="G564" s="12" t="str">
        <f>IF(D564="","",IFERROR(INDEX('Master Produk'!$C$2:$C$101,MATCH(D564,'Master Produk'!$A$2:$A$101,0)),0)+SUMIFS(F$1:F563,D$1:D563,D564))</f>
        <v/>
      </c>
      <c r="H564" s="12" t="str">
        <f t="shared" si="17"/>
        <v/>
      </c>
      <c r="I564" s="5"/>
      <c r="J564" s="5"/>
      <c r="K564" s="11" t="str">
        <f>IF(D564="","",IF(ISNA(MATCH(D564,'Master Produk'!$A$2:$A$101,0)),"SKU tidak ada di master",IF(AND(C564="Stok masuk",F564&lt;0),"Stok masuk harus +",IF(AND(C564="Stok keluar",F564&gt;0),"Stok keluar harus -",IF(H564&lt;0,"Stok negatif","OK")))))</f>
        <v/>
      </c>
    </row>
    <row r="565" spans="1:11" x14ac:dyDescent="0.3">
      <c r="A565" s="9" t="str">
        <f t="shared" si="16"/>
        <v/>
      </c>
      <c r="B565" s="10"/>
      <c r="C565" s="5"/>
      <c r="D565" s="5"/>
      <c r="E565" s="11" t="str">
        <f>IF(D565="","",IFERROR(INDEX('Master Produk'!$B$2:$B$101,MATCH(D565,'Master Produk'!$A$2:$A$101,0)),"SKU tidak ada di master"))</f>
        <v/>
      </c>
      <c r="F565" s="6"/>
      <c r="G565" s="12" t="str">
        <f>IF(D565="","",IFERROR(INDEX('Master Produk'!$C$2:$C$101,MATCH(D565,'Master Produk'!$A$2:$A$101,0)),0)+SUMIFS(F$1:F564,D$1:D564,D565))</f>
        <v/>
      </c>
      <c r="H565" s="12" t="str">
        <f t="shared" si="17"/>
        <v/>
      </c>
      <c r="I565" s="5"/>
      <c r="J565" s="5"/>
      <c r="K565" s="11" t="str">
        <f>IF(D565="","",IF(ISNA(MATCH(D565,'Master Produk'!$A$2:$A$101,0)),"SKU tidak ada di master",IF(AND(C565="Stok masuk",F565&lt;0),"Stok masuk harus +",IF(AND(C565="Stok keluar",F565&gt;0),"Stok keluar harus -",IF(H565&lt;0,"Stok negatif","OK")))))</f>
        <v/>
      </c>
    </row>
    <row r="566" spans="1:11" x14ac:dyDescent="0.3">
      <c r="A566" s="9" t="str">
        <f t="shared" si="16"/>
        <v/>
      </c>
      <c r="B566" s="10"/>
      <c r="C566" s="5"/>
      <c r="D566" s="5"/>
      <c r="E566" s="11" t="str">
        <f>IF(D566="","",IFERROR(INDEX('Master Produk'!$B$2:$B$101,MATCH(D566,'Master Produk'!$A$2:$A$101,0)),"SKU tidak ada di master"))</f>
        <v/>
      </c>
      <c r="F566" s="6"/>
      <c r="G566" s="12" t="str">
        <f>IF(D566="","",IFERROR(INDEX('Master Produk'!$C$2:$C$101,MATCH(D566,'Master Produk'!$A$2:$A$101,0)),0)+SUMIFS(F$1:F565,D$1:D565,D566))</f>
        <v/>
      </c>
      <c r="H566" s="12" t="str">
        <f t="shared" si="17"/>
        <v/>
      </c>
      <c r="I566" s="5"/>
      <c r="J566" s="5"/>
      <c r="K566" s="11" t="str">
        <f>IF(D566="","",IF(ISNA(MATCH(D566,'Master Produk'!$A$2:$A$101,0)),"SKU tidak ada di master",IF(AND(C566="Stok masuk",F566&lt;0),"Stok masuk harus +",IF(AND(C566="Stok keluar",F566&gt;0),"Stok keluar harus -",IF(H566&lt;0,"Stok negatif","OK")))))</f>
        <v/>
      </c>
    </row>
    <row r="567" spans="1:11" x14ac:dyDescent="0.3">
      <c r="A567" s="9" t="str">
        <f t="shared" si="16"/>
        <v/>
      </c>
      <c r="B567" s="10"/>
      <c r="C567" s="5"/>
      <c r="D567" s="5"/>
      <c r="E567" s="11" t="str">
        <f>IF(D567="","",IFERROR(INDEX('Master Produk'!$B$2:$B$101,MATCH(D567,'Master Produk'!$A$2:$A$101,0)),"SKU tidak ada di master"))</f>
        <v/>
      </c>
      <c r="F567" s="6"/>
      <c r="G567" s="12" t="str">
        <f>IF(D567="","",IFERROR(INDEX('Master Produk'!$C$2:$C$101,MATCH(D567,'Master Produk'!$A$2:$A$101,0)),0)+SUMIFS(F$1:F566,D$1:D566,D567))</f>
        <v/>
      </c>
      <c r="H567" s="12" t="str">
        <f t="shared" si="17"/>
        <v/>
      </c>
      <c r="I567" s="5"/>
      <c r="J567" s="5"/>
      <c r="K567" s="11" t="str">
        <f>IF(D567="","",IF(ISNA(MATCH(D567,'Master Produk'!$A$2:$A$101,0)),"SKU tidak ada di master",IF(AND(C567="Stok masuk",F567&lt;0),"Stok masuk harus +",IF(AND(C567="Stok keluar",F567&gt;0),"Stok keluar harus -",IF(H567&lt;0,"Stok negatif","OK")))))</f>
        <v/>
      </c>
    </row>
    <row r="568" spans="1:11" x14ac:dyDescent="0.3">
      <c r="A568" s="9" t="str">
        <f t="shared" si="16"/>
        <v/>
      </c>
      <c r="B568" s="10"/>
      <c r="C568" s="5"/>
      <c r="D568" s="5"/>
      <c r="E568" s="11" t="str">
        <f>IF(D568="","",IFERROR(INDEX('Master Produk'!$B$2:$B$101,MATCH(D568,'Master Produk'!$A$2:$A$101,0)),"SKU tidak ada di master"))</f>
        <v/>
      </c>
      <c r="F568" s="6"/>
      <c r="G568" s="12" t="str">
        <f>IF(D568="","",IFERROR(INDEX('Master Produk'!$C$2:$C$101,MATCH(D568,'Master Produk'!$A$2:$A$101,0)),0)+SUMIFS(F$1:F567,D$1:D567,D568))</f>
        <v/>
      </c>
      <c r="H568" s="12" t="str">
        <f t="shared" si="17"/>
        <v/>
      </c>
      <c r="I568" s="5"/>
      <c r="J568" s="5"/>
      <c r="K568" s="11" t="str">
        <f>IF(D568="","",IF(ISNA(MATCH(D568,'Master Produk'!$A$2:$A$101,0)),"SKU tidak ada di master",IF(AND(C568="Stok masuk",F568&lt;0),"Stok masuk harus +",IF(AND(C568="Stok keluar",F568&gt;0),"Stok keluar harus -",IF(H568&lt;0,"Stok negatif","OK")))))</f>
        <v/>
      </c>
    </row>
    <row r="569" spans="1:11" x14ac:dyDescent="0.3">
      <c r="A569" s="9" t="str">
        <f t="shared" si="16"/>
        <v/>
      </c>
      <c r="B569" s="10"/>
      <c r="C569" s="5"/>
      <c r="D569" s="5"/>
      <c r="E569" s="11" t="str">
        <f>IF(D569="","",IFERROR(INDEX('Master Produk'!$B$2:$B$101,MATCH(D569,'Master Produk'!$A$2:$A$101,0)),"SKU tidak ada di master"))</f>
        <v/>
      </c>
      <c r="F569" s="6"/>
      <c r="G569" s="12" t="str">
        <f>IF(D569="","",IFERROR(INDEX('Master Produk'!$C$2:$C$101,MATCH(D569,'Master Produk'!$A$2:$A$101,0)),0)+SUMIFS(F$1:F568,D$1:D568,D569))</f>
        <v/>
      </c>
      <c r="H569" s="12" t="str">
        <f t="shared" si="17"/>
        <v/>
      </c>
      <c r="I569" s="5"/>
      <c r="J569" s="5"/>
      <c r="K569" s="11" t="str">
        <f>IF(D569="","",IF(ISNA(MATCH(D569,'Master Produk'!$A$2:$A$101,0)),"SKU tidak ada di master",IF(AND(C569="Stok masuk",F569&lt;0),"Stok masuk harus +",IF(AND(C569="Stok keluar",F569&gt;0),"Stok keluar harus -",IF(H569&lt;0,"Stok negatif","OK")))))</f>
        <v/>
      </c>
    </row>
    <row r="570" spans="1:11" x14ac:dyDescent="0.3">
      <c r="A570" s="9" t="str">
        <f t="shared" si="16"/>
        <v/>
      </c>
      <c r="B570" s="10"/>
      <c r="C570" s="5"/>
      <c r="D570" s="5"/>
      <c r="E570" s="11" t="str">
        <f>IF(D570="","",IFERROR(INDEX('Master Produk'!$B$2:$B$101,MATCH(D570,'Master Produk'!$A$2:$A$101,0)),"SKU tidak ada di master"))</f>
        <v/>
      </c>
      <c r="F570" s="6"/>
      <c r="G570" s="12" t="str">
        <f>IF(D570="","",IFERROR(INDEX('Master Produk'!$C$2:$C$101,MATCH(D570,'Master Produk'!$A$2:$A$101,0)),0)+SUMIFS(F$1:F569,D$1:D569,D570))</f>
        <v/>
      </c>
      <c r="H570" s="12" t="str">
        <f t="shared" si="17"/>
        <v/>
      </c>
      <c r="I570" s="5"/>
      <c r="J570" s="5"/>
      <c r="K570" s="11" t="str">
        <f>IF(D570="","",IF(ISNA(MATCH(D570,'Master Produk'!$A$2:$A$101,0)),"SKU tidak ada di master",IF(AND(C570="Stok masuk",F570&lt;0),"Stok masuk harus +",IF(AND(C570="Stok keluar",F570&gt;0),"Stok keluar harus -",IF(H570&lt;0,"Stok negatif","OK")))))</f>
        <v/>
      </c>
    </row>
    <row r="571" spans="1:11" x14ac:dyDescent="0.3">
      <c r="A571" s="9" t="str">
        <f t="shared" si="16"/>
        <v/>
      </c>
      <c r="B571" s="10"/>
      <c r="C571" s="5"/>
      <c r="D571" s="5"/>
      <c r="E571" s="11" t="str">
        <f>IF(D571="","",IFERROR(INDEX('Master Produk'!$B$2:$B$101,MATCH(D571,'Master Produk'!$A$2:$A$101,0)),"SKU tidak ada di master"))</f>
        <v/>
      </c>
      <c r="F571" s="6"/>
      <c r="G571" s="12" t="str">
        <f>IF(D571="","",IFERROR(INDEX('Master Produk'!$C$2:$C$101,MATCH(D571,'Master Produk'!$A$2:$A$101,0)),0)+SUMIFS(F$1:F570,D$1:D570,D571))</f>
        <v/>
      </c>
      <c r="H571" s="12" t="str">
        <f t="shared" si="17"/>
        <v/>
      </c>
      <c r="I571" s="5"/>
      <c r="J571" s="5"/>
      <c r="K571" s="11" t="str">
        <f>IF(D571="","",IF(ISNA(MATCH(D571,'Master Produk'!$A$2:$A$101,0)),"SKU tidak ada di master",IF(AND(C571="Stok masuk",F571&lt;0),"Stok masuk harus +",IF(AND(C571="Stok keluar",F571&gt;0),"Stok keluar harus -",IF(H571&lt;0,"Stok negatif","OK")))))</f>
        <v/>
      </c>
    </row>
    <row r="572" spans="1:11" x14ac:dyDescent="0.3">
      <c r="A572" s="9" t="str">
        <f t="shared" si="16"/>
        <v/>
      </c>
      <c r="B572" s="10"/>
      <c r="C572" s="5"/>
      <c r="D572" s="5"/>
      <c r="E572" s="11" t="str">
        <f>IF(D572="","",IFERROR(INDEX('Master Produk'!$B$2:$B$101,MATCH(D572,'Master Produk'!$A$2:$A$101,0)),"SKU tidak ada di master"))</f>
        <v/>
      </c>
      <c r="F572" s="6"/>
      <c r="G572" s="12" t="str">
        <f>IF(D572="","",IFERROR(INDEX('Master Produk'!$C$2:$C$101,MATCH(D572,'Master Produk'!$A$2:$A$101,0)),0)+SUMIFS(F$1:F571,D$1:D571,D572))</f>
        <v/>
      </c>
      <c r="H572" s="12" t="str">
        <f t="shared" si="17"/>
        <v/>
      </c>
      <c r="I572" s="5"/>
      <c r="J572" s="5"/>
      <c r="K572" s="11" t="str">
        <f>IF(D572="","",IF(ISNA(MATCH(D572,'Master Produk'!$A$2:$A$101,0)),"SKU tidak ada di master",IF(AND(C572="Stok masuk",F572&lt;0),"Stok masuk harus +",IF(AND(C572="Stok keluar",F572&gt;0),"Stok keluar harus -",IF(H572&lt;0,"Stok negatif","OK")))))</f>
        <v/>
      </c>
    </row>
    <row r="573" spans="1:11" x14ac:dyDescent="0.3">
      <c r="A573" s="9" t="str">
        <f t="shared" si="16"/>
        <v/>
      </c>
      <c r="B573" s="10"/>
      <c r="C573" s="5"/>
      <c r="D573" s="5"/>
      <c r="E573" s="11" t="str">
        <f>IF(D573="","",IFERROR(INDEX('Master Produk'!$B$2:$B$101,MATCH(D573,'Master Produk'!$A$2:$A$101,0)),"SKU tidak ada di master"))</f>
        <v/>
      </c>
      <c r="F573" s="6"/>
      <c r="G573" s="12" t="str">
        <f>IF(D573="","",IFERROR(INDEX('Master Produk'!$C$2:$C$101,MATCH(D573,'Master Produk'!$A$2:$A$101,0)),0)+SUMIFS(F$1:F572,D$1:D572,D573))</f>
        <v/>
      </c>
      <c r="H573" s="12" t="str">
        <f t="shared" si="17"/>
        <v/>
      </c>
      <c r="I573" s="5"/>
      <c r="J573" s="5"/>
      <c r="K573" s="11" t="str">
        <f>IF(D573="","",IF(ISNA(MATCH(D573,'Master Produk'!$A$2:$A$101,0)),"SKU tidak ada di master",IF(AND(C573="Stok masuk",F573&lt;0),"Stok masuk harus +",IF(AND(C573="Stok keluar",F573&gt;0),"Stok keluar harus -",IF(H573&lt;0,"Stok negatif","OK")))))</f>
        <v/>
      </c>
    </row>
    <row r="574" spans="1:11" x14ac:dyDescent="0.3">
      <c r="A574" s="9" t="str">
        <f t="shared" si="16"/>
        <v/>
      </c>
      <c r="B574" s="10"/>
      <c r="C574" s="5"/>
      <c r="D574" s="5"/>
      <c r="E574" s="11" t="str">
        <f>IF(D574="","",IFERROR(INDEX('Master Produk'!$B$2:$B$101,MATCH(D574,'Master Produk'!$A$2:$A$101,0)),"SKU tidak ada di master"))</f>
        <v/>
      </c>
      <c r="F574" s="6"/>
      <c r="G574" s="12" t="str">
        <f>IF(D574="","",IFERROR(INDEX('Master Produk'!$C$2:$C$101,MATCH(D574,'Master Produk'!$A$2:$A$101,0)),0)+SUMIFS(F$1:F573,D$1:D573,D574))</f>
        <v/>
      </c>
      <c r="H574" s="12" t="str">
        <f t="shared" si="17"/>
        <v/>
      </c>
      <c r="I574" s="5"/>
      <c r="J574" s="5"/>
      <c r="K574" s="11" t="str">
        <f>IF(D574="","",IF(ISNA(MATCH(D574,'Master Produk'!$A$2:$A$101,0)),"SKU tidak ada di master",IF(AND(C574="Stok masuk",F574&lt;0),"Stok masuk harus +",IF(AND(C574="Stok keluar",F574&gt;0),"Stok keluar harus -",IF(H574&lt;0,"Stok negatif","OK")))))</f>
        <v/>
      </c>
    </row>
    <row r="575" spans="1:11" x14ac:dyDescent="0.3">
      <c r="A575" s="9" t="str">
        <f t="shared" si="16"/>
        <v/>
      </c>
      <c r="B575" s="10"/>
      <c r="C575" s="5"/>
      <c r="D575" s="5"/>
      <c r="E575" s="11" t="str">
        <f>IF(D575="","",IFERROR(INDEX('Master Produk'!$B$2:$B$101,MATCH(D575,'Master Produk'!$A$2:$A$101,0)),"SKU tidak ada di master"))</f>
        <v/>
      </c>
      <c r="F575" s="6"/>
      <c r="G575" s="12" t="str">
        <f>IF(D575="","",IFERROR(INDEX('Master Produk'!$C$2:$C$101,MATCH(D575,'Master Produk'!$A$2:$A$101,0)),0)+SUMIFS(F$1:F574,D$1:D574,D575))</f>
        <v/>
      </c>
      <c r="H575" s="12" t="str">
        <f t="shared" si="17"/>
        <v/>
      </c>
      <c r="I575" s="5"/>
      <c r="J575" s="5"/>
      <c r="K575" s="11" t="str">
        <f>IF(D575="","",IF(ISNA(MATCH(D575,'Master Produk'!$A$2:$A$101,0)),"SKU tidak ada di master",IF(AND(C575="Stok masuk",F575&lt;0),"Stok masuk harus +",IF(AND(C575="Stok keluar",F575&gt;0),"Stok keluar harus -",IF(H575&lt;0,"Stok negatif","OK")))))</f>
        <v/>
      </c>
    </row>
    <row r="576" spans="1:11" x14ac:dyDescent="0.3">
      <c r="A576" s="9" t="str">
        <f t="shared" si="16"/>
        <v/>
      </c>
      <c r="B576" s="10"/>
      <c r="C576" s="5"/>
      <c r="D576" s="5"/>
      <c r="E576" s="11" t="str">
        <f>IF(D576="","",IFERROR(INDEX('Master Produk'!$B$2:$B$101,MATCH(D576,'Master Produk'!$A$2:$A$101,0)),"SKU tidak ada di master"))</f>
        <v/>
      </c>
      <c r="F576" s="6"/>
      <c r="G576" s="12" t="str">
        <f>IF(D576="","",IFERROR(INDEX('Master Produk'!$C$2:$C$101,MATCH(D576,'Master Produk'!$A$2:$A$101,0)),0)+SUMIFS(F$1:F575,D$1:D575,D576))</f>
        <v/>
      </c>
      <c r="H576" s="12" t="str">
        <f t="shared" si="17"/>
        <v/>
      </c>
      <c r="I576" s="5"/>
      <c r="J576" s="5"/>
      <c r="K576" s="11" t="str">
        <f>IF(D576="","",IF(ISNA(MATCH(D576,'Master Produk'!$A$2:$A$101,0)),"SKU tidak ada di master",IF(AND(C576="Stok masuk",F576&lt;0),"Stok masuk harus +",IF(AND(C576="Stok keluar",F576&gt;0),"Stok keluar harus -",IF(H576&lt;0,"Stok negatif","OK")))))</f>
        <v/>
      </c>
    </row>
    <row r="577" spans="1:11" x14ac:dyDescent="0.3">
      <c r="A577" s="9" t="str">
        <f t="shared" si="16"/>
        <v/>
      </c>
      <c r="B577" s="10"/>
      <c r="C577" s="5"/>
      <c r="D577" s="5"/>
      <c r="E577" s="11" t="str">
        <f>IF(D577="","",IFERROR(INDEX('Master Produk'!$B$2:$B$101,MATCH(D577,'Master Produk'!$A$2:$A$101,0)),"SKU tidak ada di master"))</f>
        <v/>
      </c>
      <c r="F577" s="6"/>
      <c r="G577" s="12" t="str">
        <f>IF(D577="","",IFERROR(INDEX('Master Produk'!$C$2:$C$101,MATCH(D577,'Master Produk'!$A$2:$A$101,0)),0)+SUMIFS(F$1:F576,D$1:D576,D577))</f>
        <v/>
      </c>
      <c r="H577" s="12" t="str">
        <f t="shared" si="17"/>
        <v/>
      </c>
      <c r="I577" s="5"/>
      <c r="J577" s="5"/>
      <c r="K577" s="11" t="str">
        <f>IF(D577="","",IF(ISNA(MATCH(D577,'Master Produk'!$A$2:$A$101,0)),"SKU tidak ada di master",IF(AND(C577="Stok masuk",F577&lt;0),"Stok masuk harus +",IF(AND(C577="Stok keluar",F577&gt;0),"Stok keluar harus -",IF(H577&lt;0,"Stok negatif","OK")))))</f>
        <v/>
      </c>
    </row>
    <row r="578" spans="1:11" x14ac:dyDescent="0.3">
      <c r="A578" s="9" t="str">
        <f t="shared" ref="A578:A641" si="18">IF(D578="","",ROW()-1)</f>
        <v/>
      </c>
      <c r="B578" s="10"/>
      <c r="C578" s="5"/>
      <c r="D578" s="5"/>
      <c r="E578" s="11" t="str">
        <f>IF(D578="","",IFERROR(INDEX('Master Produk'!$B$2:$B$101,MATCH(D578,'Master Produk'!$A$2:$A$101,0)),"SKU tidak ada di master"))</f>
        <v/>
      </c>
      <c r="F578" s="6"/>
      <c r="G578" s="12" t="str">
        <f>IF(D578="","",IFERROR(INDEX('Master Produk'!$C$2:$C$101,MATCH(D578,'Master Produk'!$A$2:$A$101,0)),0)+SUMIFS(F$1:F577,D$1:D577,D578))</f>
        <v/>
      </c>
      <c r="H578" s="12" t="str">
        <f t="shared" ref="H578:H641" si="19">IF(D578="","",G578+F578)</f>
        <v/>
      </c>
      <c r="I578" s="5"/>
      <c r="J578" s="5"/>
      <c r="K578" s="11" t="str">
        <f>IF(D578="","",IF(ISNA(MATCH(D578,'Master Produk'!$A$2:$A$101,0)),"SKU tidak ada di master",IF(AND(C578="Stok masuk",F578&lt;0),"Stok masuk harus +",IF(AND(C578="Stok keluar",F578&gt;0),"Stok keluar harus -",IF(H578&lt;0,"Stok negatif","OK")))))</f>
        <v/>
      </c>
    </row>
    <row r="579" spans="1:11" x14ac:dyDescent="0.3">
      <c r="A579" s="9" t="str">
        <f t="shared" si="18"/>
        <v/>
      </c>
      <c r="B579" s="10"/>
      <c r="C579" s="5"/>
      <c r="D579" s="5"/>
      <c r="E579" s="11" t="str">
        <f>IF(D579="","",IFERROR(INDEX('Master Produk'!$B$2:$B$101,MATCH(D579,'Master Produk'!$A$2:$A$101,0)),"SKU tidak ada di master"))</f>
        <v/>
      </c>
      <c r="F579" s="6"/>
      <c r="G579" s="12" t="str">
        <f>IF(D579="","",IFERROR(INDEX('Master Produk'!$C$2:$C$101,MATCH(D579,'Master Produk'!$A$2:$A$101,0)),0)+SUMIFS(F$1:F578,D$1:D578,D579))</f>
        <v/>
      </c>
      <c r="H579" s="12" t="str">
        <f t="shared" si="19"/>
        <v/>
      </c>
      <c r="I579" s="5"/>
      <c r="J579" s="5"/>
      <c r="K579" s="11" t="str">
        <f>IF(D579="","",IF(ISNA(MATCH(D579,'Master Produk'!$A$2:$A$101,0)),"SKU tidak ada di master",IF(AND(C579="Stok masuk",F579&lt;0),"Stok masuk harus +",IF(AND(C579="Stok keluar",F579&gt;0),"Stok keluar harus -",IF(H579&lt;0,"Stok negatif","OK")))))</f>
        <v/>
      </c>
    </row>
    <row r="580" spans="1:11" x14ac:dyDescent="0.3">
      <c r="A580" s="9" t="str">
        <f t="shared" si="18"/>
        <v/>
      </c>
      <c r="B580" s="10"/>
      <c r="C580" s="5"/>
      <c r="D580" s="5"/>
      <c r="E580" s="11" t="str">
        <f>IF(D580="","",IFERROR(INDEX('Master Produk'!$B$2:$B$101,MATCH(D580,'Master Produk'!$A$2:$A$101,0)),"SKU tidak ada di master"))</f>
        <v/>
      </c>
      <c r="F580" s="6"/>
      <c r="G580" s="12" t="str">
        <f>IF(D580="","",IFERROR(INDEX('Master Produk'!$C$2:$C$101,MATCH(D580,'Master Produk'!$A$2:$A$101,0)),0)+SUMIFS(F$1:F579,D$1:D579,D580))</f>
        <v/>
      </c>
      <c r="H580" s="12" t="str">
        <f t="shared" si="19"/>
        <v/>
      </c>
      <c r="I580" s="5"/>
      <c r="J580" s="5"/>
      <c r="K580" s="11" t="str">
        <f>IF(D580="","",IF(ISNA(MATCH(D580,'Master Produk'!$A$2:$A$101,0)),"SKU tidak ada di master",IF(AND(C580="Stok masuk",F580&lt;0),"Stok masuk harus +",IF(AND(C580="Stok keluar",F580&gt;0),"Stok keluar harus -",IF(H580&lt;0,"Stok negatif","OK")))))</f>
        <v/>
      </c>
    </row>
    <row r="581" spans="1:11" x14ac:dyDescent="0.3">
      <c r="A581" s="9" t="str">
        <f t="shared" si="18"/>
        <v/>
      </c>
      <c r="B581" s="10"/>
      <c r="C581" s="5"/>
      <c r="D581" s="5"/>
      <c r="E581" s="11" t="str">
        <f>IF(D581="","",IFERROR(INDEX('Master Produk'!$B$2:$B$101,MATCH(D581,'Master Produk'!$A$2:$A$101,0)),"SKU tidak ada di master"))</f>
        <v/>
      </c>
      <c r="F581" s="6"/>
      <c r="G581" s="12" t="str">
        <f>IF(D581="","",IFERROR(INDEX('Master Produk'!$C$2:$C$101,MATCH(D581,'Master Produk'!$A$2:$A$101,0)),0)+SUMIFS(F$1:F580,D$1:D580,D581))</f>
        <v/>
      </c>
      <c r="H581" s="12" t="str">
        <f t="shared" si="19"/>
        <v/>
      </c>
      <c r="I581" s="5"/>
      <c r="J581" s="5"/>
      <c r="K581" s="11" t="str">
        <f>IF(D581="","",IF(ISNA(MATCH(D581,'Master Produk'!$A$2:$A$101,0)),"SKU tidak ada di master",IF(AND(C581="Stok masuk",F581&lt;0),"Stok masuk harus +",IF(AND(C581="Stok keluar",F581&gt;0),"Stok keluar harus -",IF(H581&lt;0,"Stok negatif","OK")))))</f>
        <v/>
      </c>
    </row>
    <row r="582" spans="1:11" x14ac:dyDescent="0.3">
      <c r="A582" s="9" t="str">
        <f t="shared" si="18"/>
        <v/>
      </c>
      <c r="B582" s="10"/>
      <c r="C582" s="5"/>
      <c r="D582" s="5"/>
      <c r="E582" s="11" t="str">
        <f>IF(D582="","",IFERROR(INDEX('Master Produk'!$B$2:$B$101,MATCH(D582,'Master Produk'!$A$2:$A$101,0)),"SKU tidak ada di master"))</f>
        <v/>
      </c>
      <c r="F582" s="6"/>
      <c r="G582" s="12" t="str">
        <f>IF(D582="","",IFERROR(INDEX('Master Produk'!$C$2:$C$101,MATCH(D582,'Master Produk'!$A$2:$A$101,0)),0)+SUMIFS(F$1:F581,D$1:D581,D582))</f>
        <v/>
      </c>
      <c r="H582" s="12" t="str">
        <f t="shared" si="19"/>
        <v/>
      </c>
      <c r="I582" s="5"/>
      <c r="J582" s="5"/>
      <c r="K582" s="11" t="str">
        <f>IF(D582="","",IF(ISNA(MATCH(D582,'Master Produk'!$A$2:$A$101,0)),"SKU tidak ada di master",IF(AND(C582="Stok masuk",F582&lt;0),"Stok masuk harus +",IF(AND(C582="Stok keluar",F582&gt;0),"Stok keluar harus -",IF(H582&lt;0,"Stok negatif","OK")))))</f>
        <v/>
      </c>
    </row>
    <row r="583" spans="1:11" x14ac:dyDescent="0.3">
      <c r="A583" s="9" t="str">
        <f t="shared" si="18"/>
        <v/>
      </c>
      <c r="B583" s="10"/>
      <c r="C583" s="5"/>
      <c r="D583" s="5"/>
      <c r="E583" s="11" t="str">
        <f>IF(D583="","",IFERROR(INDEX('Master Produk'!$B$2:$B$101,MATCH(D583,'Master Produk'!$A$2:$A$101,0)),"SKU tidak ada di master"))</f>
        <v/>
      </c>
      <c r="F583" s="6"/>
      <c r="G583" s="12" t="str">
        <f>IF(D583="","",IFERROR(INDEX('Master Produk'!$C$2:$C$101,MATCH(D583,'Master Produk'!$A$2:$A$101,0)),0)+SUMIFS(F$1:F582,D$1:D582,D583))</f>
        <v/>
      </c>
      <c r="H583" s="12" t="str">
        <f t="shared" si="19"/>
        <v/>
      </c>
      <c r="I583" s="5"/>
      <c r="J583" s="5"/>
      <c r="K583" s="11" t="str">
        <f>IF(D583="","",IF(ISNA(MATCH(D583,'Master Produk'!$A$2:$A$101,0)),"SKU tidak ada di master",IF(AND(C583="Stok masuk",F583&lt;0),"Stok masuk harus +",IF(AND(C583="Stok keluar",F583&gt;0),"Stok keluar harus -",IF(H583&lt;0,"Stok negatif","OK")))))</f>
        <v/>
      </c>
    </row>
    <row r="584" spans="1:11" x14ac:dyDescent="0.3">
      <c r="A584" s="9" t="str">
        <f t="shared" si="18"/>
        <v/>
      </c>
      <c r="B584" s="10"/>
      <c r="C584" s="5"/>
      <c r="D584" s="5"/>
      <c r="E584" s="11" t="str">
        <f>IF(D584="","",IFERROR(INDEX('Master Produk'!$B$2:$B$101,MATCH(D584,'Master Produk'!$A$2:$A$101,0)),"SKU tidak ada di master"))</f>
        <v/>
      </c>
      <c r="F584" s="6"/>
      <c r="G584" s="12" t="str">
        <f>IF(D584="","",IFERROR(INDEX('Master Produk'!$C$2:$C$101,MATCH(D584,'Master Produk'!$A$2:$A$101,0)),0)+SUMIFS(F$1:F583,D$1:D583,D584))</f>
        <v/>
      </c>
      <c r="H584" s="12" t="str">
        <f t="shared" si="19"/>
        <v/>
      </c>
      <c r="I584" s="5"/>
      <c r="J584" s="5"/>
      <c r="K584" s="11" t="str">
        <f>IF(D584="","",IF(ISNA(MATCH(D584,'Master Produk'!$A$2:$A$101,0)),"SKU tidak ada di master",IF(AND(C584="Stok masuk",F584&lt;0),"Stok masuk harus +",IF(AND(C584="Stok keluar",F584&gt;0),"Stok keluar harus -",IF(H584&lt;0,"Stok negatif","OK")))))</f>
        <v/>
      </c>
    </row>
    <row r="585" spans="1:11" x14ac:dyDescent="0.3">
      <c r="A585" s="9" t="str">
        <f t="shared" si="18"/>
        <v/>
      </c>
      <c r="B585" s="10"/>
      <c r="C585" s="5"/>
      <c r="D585" s="5"/>
      <c r="E585" s="11" t="str">
        <f>IF(D585="","",IFERROR(INDEX('Master Produk'!$B$2:$B$101,MATCH(D585,'Master Produk'!$A$2:$A$101,0)),"SKU tidak ada di master"))</f>
        <v/>
      </c>
      <c r="F585" s="6"/>
      <c r="G585" s="12" t="str">
        <f>IF(D585="","",IFERROR(INDEX('Master Produk'!$C$2:$C$101,MATCH(D585,'Master Produk'!$A$2:$A$101,0)),0)+SUMIFS(F$1:F584,D$1:D584,D585))</f>
        <v/>
      </c>
      <c r="H585" s="12" t="str">
        <f t="shared" si="19"/>
        <v/>
      </c>
      <c r="I585" s="5"/>
      <c r="J585" s="5"/>
      <c r="K585" s="11" t="str">
        <f>IF(D585="","",IF(ISNA(MATCH(D585,'Master Produk'!$A$2:$A$101,0)),"SKU tidak ada di master",IF(AND(C585="Stok masuk",F585&lt;0),"Stok masuk harus +",IF(AND(C585="Stok keluar",F585&gt;0),"Stok keluar harus -",IF(H585&lt;0,"Stok negatif","OK")))))</f>
        <v/>
      </c>
    </row>
    <row r="586" spans="1:11" x14ac:dyDescent="0.3">
      <c r="A586" s="9" t="str">
        <f t="shared" si="18"/>
        <v/>
      </c>
      <c r="B586" s="10"/>
      <c r="C586" s="5"/>
      <c r="D586" s="5"/>
      <c r="E586" s="11" t="str">
        <f>IF(D586="","",IFERROR(INDEX('Master Produk'!$B$2:$B$101,MATCH(D586,'Master Produk'!$A$2:$A$101,0)),"SKU tidak ada di master"))</f>
        <v/>
      </c>
      <c r="F586" s="6"/>
      <c r="G586" s="12" t="str">
        <f>IF(D586="","",IFERROR(INDEX('Master Produk'!$C$2:$C$101,MATCH(D586,'Master Produk'!$A$2:$A$101,0)),0)+SUMIFS(F$1:F585,D$1:D585,D586))</f>
        <v/>
      </c>
      <c r="H586" s="12" t="str">
        <f t="shared" si="19"/>
        <v/>
      </c>
      <c r="I586" s="5"/>
      <c r="J586" s="5"/>
      <c r="K586" s="11" t="str">
        <f>IF(D586="","",IF(ISNA(MATCH(D586,'Master Produk'!$A$2:$A$101,0)),"SKU tidak ada di master",IF(AND(C586="Stok masuk",F586&lt;0),"Stok masuk harus +",IF(AND(C586="Stok keluar",F586&gt;0),"Stok keluar harus -",IF(H586&lt;0,"Stok negatif","OK")))))</f>
        <v/>
      </c>
    </row>
    <row r="587" spans="1:11" x14ac:dyDescent="0.3">
      <c r="A587" s="9" t="str">
        <f t="shared" si="18"/>
        <v/>
      </c>
      <c r="B587" s="10"/>
      <c r="C587" s="5"/>
      <c r="D587" s="5"/>
      <c r="E587" s="11" t="str">
        <f>IF(D587="","",IFERROR(INDEX('Master Produk'!$B$2:$B$101,MATCH(D587,'Master Produk'!$A$2:$A$101,0)),"SKU tidak ada di master"))</f>
        <v/>
      </c>
      <c r="F587" s="6"/>
      <c r="G587" s="12" t="str">
        <f>IF(D587="","",IFERROR(INDEX('Master Produk'!$C$2:$C$101,MATCH(D587,'Master Produk'!$A$2:$A$101,0)),0)+SUMIFS(F$1:F586,D$1:D586,D587))</f>
        <v/>
      </c>
      <c r="H587" s="12" t="str">
        <f t="shared" si="19"/>
        <v/>
      </c>
      <c r="I587" s="5"/>
      <c r="J587" s="5"/>
      <c r="K587" s="11" t="str">
        <f>IF(D587="","",IF(ISNA(MATCH(D587,'Master Produk'!$A$2:$A$101,0)),"SKU tidak ada di master",IF(AND(C587="Stok masuk",F587&lt;0),"Stok masuk harus +",IF(AND(C587="Stok keluar",F587&gt;0),"Stok keluar harus -",IF(H587&lt;0,"Stok negatif","OK")))))</f>
        <v/>
      </c>
    </row>
    <row r="588" spans="1:11" x14ac:dyDescent="0.3">
      <c r="A588" s="9" t="str">
        <f t="shared" si="18"/>
        <v/>
      </c>
      <c r="B588" s="10"/>
      <c r="C588" s="5"/>
      <c r="D588" s="5"/>
      <c r="E588" s="11" t="str">
        <f>IF(D588="","",IFERROR(INDEX('Master Produk'!$B$2:$B$101,MATCH(D588,'Master Produk'!$A$2:$A$101,0)),"SKU tidak ada di master"))</f>
        <v/>
      </c>
      <c r="F588" s="6"/>
      <c r="G588" s="12" t="str">
        <f>IF(D588="","",IFERROR(INDEX('Master Produk'!$C$2:$C$101,MATCH(D588,'Master Produk'!$A$2:$A$101,0)),0)+SUMIFS(F$1:F587,D$1:D587,D588))</f>
        <v/>
      </c>
      <c r="H588" s="12" t="str">
        <f t="shared" si="19"/>
        <v/>
      </c>
      <c r="I588" s="5"/>
      <c r="J588" s="5"/>
      <c r="K588" s="11" t="str">
        <f>IF(D588="","",IF(ISNA(MATCH(D588,'Master Produk'!$A$2:$A$101,0)),"SKU tidak ada di master",IF(AND(C588="Stok masuk",F588&lt;0),"Stok masuk harus +",IF(AND(C588="Stok keluar",F588&gt;0),"Stok keluar harus -",IF(H588&lt;0,"Stok negatif","OK")))))</f>
        <v/>
      </c>
    </row>
    <row r="589" spans="1:11" x14ac:dyDescent="0.3">
      <c r="A589" s="9" t="str">
        <f t="shared" si="18"/>
        <v/>
      </c>
      <c r="B589" s="10"/>
      <c r="C589" s="5"/>
      <c r="D589" s="5"/>
      <c r="E589" s="11" t="str">
        <f>IF(D589="","",IFERROR(INDEX('Master Produk'!$B$2:$B$101,MATCH(D589,'Master Produk'!$A$2:$A$101,0)),"SKU tidak ada di master"))</f>
        <v/>
      </c>
      <c r="F589" s="6"/>
      <c r="G589" s="12" t="str">
        <f>IF(D589="","",IFERROR(INDEX('Master Produk'!$C$2:$C$101,MATCH(D589,'Master Produk'!$A$2:$A$101,0)),0)+SUMIFS(F$1:F588,D$1:D588,D589))</f>
        <v/>
      </c>
      <c r="H589" s="12" t="str">
        <f t="shared" si="19"/>
        <v/>
      </c>
      <c r="I589" s="5"/>
      <c r="J589" s="5"/>
      <c r="K589" s="11" t="str">
        <f>IF(D589="","",IF(ISNA(MATCH(D589,'Master Produk'!$A$2:$A$101,0)),"SKU tidak ada di master",IF(AND(C589="Stok masuk",F589&lt;0),"Stok masuk harus +",IF(AND(C589="Stok keluar",F589&gt;0),"Stok keluar harus -",IF(H589&lt;0,"Stok negatif","OK")))))</f>
        <v/>
      </c>
    </row>
    <row r="590" spans="1:11" x14ac:dyDescent="0.3">
      <c r="A590" s="9" t="str">
        <f t="shared" si="18"/>
        <v/>
      </c>
      <c r="B590" s="10"/>
      <c r="C590" s="5"/>
      <c r="D590" s="5"/>
      <c r="E590" s="11" t="str">
        <f>IF(D590="","",IFERROR(INDEX('Master Produk'!$B$2:$B$101,MATCH(D590,'Master Produk'!$A$2:$A$101,0)),"SKU tidak ada di master"))</f>
        <v/>
      </c>
      <c r="F590" s="6"/>
      <c r="G590" s="12" t="str">
        <f>IF(D590="","",IFERROR(INDEX('Master Produk'!$C$2:$C$101,MATCH(D590,'Master Produk'!$A$2:$A$101,0)),0)+SUMIFS(F$1:F589,D$1:D589,D590))</f>
        <v/>
      </c>
      <c r="H590" s="12" t="str">
        <f t="shared" si="19"/>
        <v/>
      </c>
      <c r="I590" s="5"/>
      <c r="J590" s="5"/>
      <c r="K590" s="11" t="str">
        <f>IF(D590="","",IF(ISNA(MATCH(D590,'Master Produk'!$A$2:$A$101,0)),"SKU tidak ada di master",IF(AND(C590="Stok masuk",F590&lt;0),"Stok masuk harus +",IF(AND(C590="Stok keluar",F590&gt;0),"Stok keluar harus -",IF(H590&lt;0,"Stok negatif","OK")))))</f>
        <v/>
      </c>
    </row>
    <row r="591" spans="1:11" x14ac:dyDescent="0.3">
      <c r="A591" s="9" t="str">
        <f t="shared" si="18"/>
        <v/>
      </c>
      <c r="B591" s="10"/>
      <c r="C591" s="5"/>
      <c r="D591" s="5"/>
      <c r="E591" s="11" t="str">
        <f>IF(D591="","",IFERROR(INDEX('Master Produk'!$B$2:$B$101,MATCH(D591,'Master Produk'!$A$2:$A$101,0)),"SKU tidak ada di master"))</f>
        <v/>
      </c>
      <c r="F591" s="6"/>
      <c r="G591" s="12" t="str">
        <f>IF(D591="","",IFERROR(INDEX('Master Produk'!$C$2:$C$101,MATCH(D591,'Master Produk'!$A$2:$A$101,0)),0)+SUMIFS(F$1:F590,D$1:D590,D591))</f>
        <v/>
      </c>
      <c r="H591" s="12" t="str">
        <f t="shared" si="19"/>
        <v/>
      </c>
      <c r="I591" s="5"/>
      <c r="J591" s="5"/>
      <c r="K591" s="11" t="str">
        <f>IF(D591="","",IF(ISNA(MATCH(D591,'Master Produk'!$A$2:$A$101,0)),"SKU tidak ada di master",IF(AND(C591="Stok masuk",F591&lt;0),"Stok masuk harus +",IF(AND(C591="Stok keluar",F591&gt;0),"Stok keluar harus -",IF(H591&lt;0,"Stok negatif","OK")))))</f>
        <v/>
      </c>
    </row>
    <row r="592" spans="1:11" x14ac:dyDescent="0.3">
      <c r="A592" s="9" t="str">
        <f t="shared" si="18"/>
        <v/>
      </c>
      <c r="B592" s="10"/>
      <c r="C592" s="5"/>
      <c r="D592" s="5"/>
      <c r="E592" s="11" t="str">
        <f>IF(D592="","",IFERROR(INDEX('Master Produk'!$B$2:$B$101,MATCH(D592,'Master Produk'!$A$2:$A$101,0)),"SKU tidak ada di master"))</f>
        <v/>
      </c>
      <c r="F592" s="6"/>
      <c r="G592" s="12" t="str">
        <f>IF(D592="","",IFERROR(INDEX('Master Produk'!$C$2:$C$101,MATCH(D592,'Master Produk'!$A$2:$A$101,0)),0)+SUMIFS(F$1:F591,D$1:D591,D592))</f>
        <v/>
      </c>
      <c r="H592" s="12" t="str">
        <f t="shared" si="19"/>
        <v/>
      </c>
      <c r="I592" s="5"/>
      <c r="J592" s="5"/>
      <c r="K592" s="11" t="str">
        <f>IF(D592="","",IF(ISNA(MATCH(D592,'Master Produk'!$A$2:$A$101,0)),"SKU tidak ada di master",IF(AND(C592="Stok masuk",F592&lt;0),"Stok masuk harus +",IF(AND(C592="Stok keluar",F592&gt;0),"Stok keluar harus -",IF(H592&lt;0,"Stok negatif","OK")))))</f>
        <v/>
      </c>
    </row>
    <row r="593" spans="1:11" x14ac:dyDescent="0.3">
      <c r="A593" s="9" t="str">
        <f t="shared" si="18"/>
        <v/>
      </c>
      <c r="B593" s="10"/>
      <c r="C593" s="5"/>
      <c r="D593" s="5"/>
      <c r="E593" s="11" t="str">
        <f>IF(D593="","",IFERROR(INDEX('Master Produk'!$B$2:$B$101,MATCH(D593,'Master Produk'!$A$2:$A$101,0)),"SKU tidak ada di master"))</f>
        <v/>
      </c>
      <c r="F593" s="6"/>
      <c r="G593" s="12" t="str">
        <f>IF(D593="","",IFERROR(INDEX('Master Produk'!$C$2:$C$101,MATCH(D593,'Master Produk'!$A$2:$A$101,0)),0)+SUMIFS(F$1:F592,D$1:D592,D593))</f>
        <v/>
      </c>
      <c r="H593" s="12" t="str">
        <f t="shared" si="19"/>
        <v/>
      </c>
      <c r="I593" s="5"/>
      <c r="J593" s="5"/>
      <c r="K593" s="11" t="str">
        <f>IF(D593="","",IF(ISNA(MATCH(D593,'Master Produk'!$A$2:$A$101,0)),"SKU tidak ada di master",IF(AND(C593="Stok masuk",F593&lt;0),"Stok masuk harus +",IF(AND(C593="Stok keluar",F593&gt;0),"Stok keluar harus -",IF(H593&lt;0,"Stok negatif","OK")))))</f>
        <v/>
      </c>
    </row>
    <row r="594" spans="1:11" x14ac:dyDescent="0.3">
      <c r="A594" s="9" t="str">
        <f t="shared" si="18"/>
        <v/>
      </c>
      <c r="B594" s="10"/>
      <c r="C594" s="5"/>
      <c r="D594" s="5"/>
      <c r="E594" s="11" t="str">
        <f>IF(D594="","",IFERROR(INDEX('Master Produk'!$B$2:$B$101,MATCH(D594,'Master Produk'!$A$2:$A$101,0)),"SKU tidak ada di master"))</f>
        <v/>
      </c>
      <c r="F594" s="6"/>
      <c r="G594" s="12" t="str">
        <f>IF(D594="","",IFERROR(INDEX('Master Produk'!$C$2:$C$101,MATCH(D594,'Master Produk'!$A$2:$A$101,0)),0)+SUMIFS(F$1:F593,D$1:D593,D594))</f>
        <v/>
      </c>
      <c r="H594" s="12" t="str">
        <f t="shared" si="19"/>
        <v/>
      </c>
      <c r="I594" s="5"/>
      <c r="J594" s="5"/>
      <c r="K594" s="11" t="str">
        <f>IF(D594="","",IF(ISNA(MATCH(D594,'Master Produk'!$A$2:$A$101,0)),"SKU tidak ada di master",IF(AND(C594="Stok masuk",F594&lt;0),"Stok masuk harus +",IF(AND(C594="Stok keluar",F594&gt;0),"Stok keluar harus -",IF(H594&lt;0,"Stok negatif","OK")))))</f>
        <v/>
      </c>
    </row>
    <row r="595" spans="1:11" x14ac:dyDescent="0.3">
      <c r="A595" s="9" t="str">
        <f t="shared" si="18"/>
        <v/>
      </c>
      <c r="B595" s="10"/>
      <c r="C595" s="5"/>
      <c r="D595" s="5"/>
      <c r="E595" s="11" t="str">
        <f>IF(D595="","",IFERROR(INDEX('Master Produk'!$B$2:$B$101,MATCH(D595,'Master Produk'!$A$2:$A$101,0)),"SKU tidak ada di master"))</f>
        <v/>
      </c>
      <c r="F595" s="6"/>
      <c r="G595" s="12" t="str">
        <f>IF(D595="","",IFERROR(INDEX('Master Produk'!$C$2:$C$101,MATCH(D595,'Master Produk'!$A$2:$A$101,0)),0)+SUMIFS(F$1:F594,D$1:D594,D595))</f>
        <v/>
      </c>
      <c r="H595" s="12" t="str">
        <f t="shared" si="19"/>
        <v/>
      </c>
      <c r="I595" s="5"/>
      <c r="J595" s="5"/>
      <c r="K595" s="11" t="str">
        <f>IF(D595="","",IF(ISNA(MATCH(D595,'Master Produk'!$A$2:$A$101,0)),"SKU tidak ada di master",IF(AND(C595="Stok masuk",F595&lt;0),"Stok masuk harus +",IF(AND(C595="Stok keluar",F595&gt;0),"Stok keluar harus -",IF(H595&lt;0,"Stok negatif","OK")))))</f>
        <v/>
      </c>
    </row>
    <row r="596" spans="1:11" x14ac:dyDescent="0.3">
      <c r="A596" s="9" t="str">
        <f t="shared" si="18"/>
        <v/>
      </c>
      <c r="B596" s="10"/>
      <c r="C596" s="5"/>
      <c r="D596" s="5"/>
      <c r="E596" s="11" t="str">
        <f>IF(D596="","",IFERROR(INDEX('Master Produk'!$B$2:$B$101,MATCH(D596,'Master Produk'!$A$2:$A$101,0)),"SKU tidak ada di master"))</f>
        <v/>
      </c>
      <c r="F596" s="6"/>
      <c r="G596" s="12" t="str">
        <f>IF(D596="","",IFERROR(INDEX('Master Produk'!$C$2:$C$101,MATCH(D596,'Master Produk'!$A$2:$A$101,0)),0)+SUMIFS(F$1:F595,D$1:D595,D596))</f>
        <v/>
      </c>
      <c r="H596" s="12" t="str">
        <f t="shared" si="19"/>
        <v/>
      </c>
      <c r="I596" s="5"/>
      <c r="J596" s="5"/>
      <c r="K596" s="11" t="str">
        <f>IF(D596="","",IF(ISNA(MATCH(D596,'Master Produk'!$A$2:$A$101,0)),"SKU tidak ada di master",IF(AND(C596="Stok masuk",F596&lt;0),"Stok masuk harus +",IF(AND(C596="Stok keluar",F596&gt;0),"Stok keluar harus -",IF(H596&lt;0,"Stok negatif","OK")))))</f>
        <v/>
      </c>
    </row>
    <row r="597" spans="1:11" x14ac:dyDescent="0.3">
      <c r="A597" s="9" t="str">
        <f t="shared" si="18"/>
        <v/>
      </c>
      <c r="B597" s="10"/>
      <c r="C597" s="5"/>
      <c r="D597" s="5"/>
      <c r="E597" s="11" t="str">
        <f>IF(D597="","",IFERROR(INDEX('Master Produk'!$B$2:$B$101,MATCH(D597,'Master Produk'!$A$2:$A$101,0)),"SKU tidak ada di master"))</f>
        <v/>
      </c>
      <c r="F597" s="6"/>
      <c r="G597" s="12" t="str">
        <f>IF(D597="","",IFERROR(INDEX('Master Produk'!$C$2:$C$101,MATCH(D597,'Master Produk'!$A$2:$A$101,0)),0)+SUMIFS(F$1:F596,D$1:D596,D597))</f>
        <v/>
      </c>
      <c r="H597" s="12" t="str">
        <f t="shared" si="19"/>
        <v/>
      </c>
      <c r="I597" s="5"/>
      <c r="J597" s="5"/>
      <c r="K597" s="11" t="str">
        <f>IF(D597="","",IF(ISNA(MATCH(D597,'Master Produk'!$A$2:$A$101,0)),"SKU tidak ada di master",IF(AND(C597="Stok masuk",F597&lt;0),"Stok masuk harus +",IF(AND(C597="Stok keluar",F597&gt;0),"Stok keluar harus -",IF(H597&lt;0,"Stok negatif","OK")))))</f>
        <v/>
      </c>
    </row>
    <row r="598" spans="1:11" x14ac:dyDescent="0.3">
      <c r="A598" s="9" t="str">
        <f t="shared" si="18"/>
        <v/>
      </c>
      <c r="B598" s="10"/>
      <c r="C598" s="5"/>
      <c r="D598" s="5"/>
      <c r="E598" s="11" t="str">
        <f>IF(D598="","",IFERROR(INDEX('Master Produk'!$B$2:$B$101,MATCH(D598,'Master Produk'!$A$2:$A$101,0)),"SKU tidak ada di master"))</f>
        <v/>
      </c>
      <c r="F598" s="6"/>
      <c r="G598" s="12" t="str">
        <f>IF(D598="","",IFERROR(INDEX('Master Produk'!$C$2:$C$101,MATCH(D598,'Master Produk'!$A$2:$A$101,0)),0)+SUMIFS(F$1:F597,D$1:D597,D598))</f>
        <v/>
      </c>
      <c r="H598" s="12" t="str">
        <f t="shared" si="19"/>
        <v/>
      </c>
      <c r="I598" s="5"/>
      <c r="J598" s="5"/>
      <c r="K598" s="11" t="str">
        <f>IF(D598="","",IF(ISNA(MATCH(D598,'Master Produk'!$A$2:$A$101,0)),"SKU tidak ada di master",IF(AND(C598="Stok masuk",F598&lt;0),"Stok masuk harus +",IF(AND(C598="Stok keluar",F598&gt;0),"Stok keluar harus -",IF(H598&lt;0,"Stok negatif","OK")))))</f>
        <v/>
      </c>
    </row>
    <row r="599" spans="1:11" x14ac:dyDescent="0.3">
      <c r="A599" s="9" t="str">
        <f t="shared" si="18"/>
        <v/>
      </c>
      <c r="B599" s="10"/>
      <c r="C599" s="5"/>
      <c r="D599" s="5"/>
      <c r="E599" s="11" t="str">
        <f>IF(D599="","",IFERROR(INDEX('Master Produk'!$B$2:$B$101,MATCH(D599,'Master Produk'!$A$2:$A$101,0)),"SKU tidak ada di master"))</f>
        <v/>
      </c>
      <c r="F599" s="6"/>
      <c r="G599" s="12" t="str">
        <f>IF(D599="","",IFERROR(INDEX('Master Produk'!$C$2:$C$101,MATCH(D599,'Master Produk'!$A$2:$A$101,0)),0)+SUMIFS(F$1:F598,D$1:D598,D599))</f>
        <v/>
      </c>
      <c r="H599" s="12" t="str">
        <f t="shared" si="19"/>
        <v/>
      </c>
      <c r="I599" s="5"/>
      <c r="J599" s="5"/>
      <c r="K599" s="11" t="str">
        <f>IF(D599="","",IF(ISNA(MATCH(D599,'Master Produk'!$A$2:$A$101,0)),"SKU tidak ada di master",IF(AND(C599="Stok masuk",F599&lt;0),"Stok masuk harus +",IF(AND(C599="Stok keluar",F599&gt;0),"Stok keluar harus -",IF(H599&lt;0,"Stok negatif","OK")))))</f>
        <v/>
      </c>
    </row>
    <row r="600" spans="1:11" x14ac:dyDescent="0.3">
      <c r="A600" s="9" t="str">
        <f t="shared" si="18"/>
        <v/>
      </c>
      <c r="B600" s="10"/>
      <c r="C600" s="5"/>
      <c r="D600" s="5"/>
      <c r="E600" s="11" t="str">
        <f>IF(D600="","",IFERROR(INDEX('Master Produk'!$B$2:$B$101,MATCH(D600,'Master Produk'!$A$2:$A$101,0)),"SKU tidak ada di master"))</f>
        <v/>
      </c>
      <c r="F600" s="6"/>
      <c r="G600" s="12" t="str">
        <f>IF(D600="","",IFERROR(INDEX('Master Produk'!$C$2:$C$101,MATCH(D600,'Master Produk'!$A$2:$A$101,0)),0)+SUMIFS(F$1:F599,D$1:D599,D600))</f>
        <v/>
      </c>
      <c r="H600" s="12" t="str">
        <f t="shared" si="19"/>
        <v/>
      </c>
      <c r="I600" s="5"/>
      <c r="J600" s="5"/>
      <c r="K600" s="11" t="str">
        <f>IF(D600="","",IF(ISNA(MATCH(D600,'Master Produk'!$A$2:$A$101,0)),"SKU tidak ada di master",IF(AND(C600="Stok masuk",F600&lt;0),"Stok masuk harus +",IF(AND(C600="Stok keluar",F600&gt;0),"Stok keluar harus -",IF(H600&lt;0,"Stok negatif","OK")))))</f>
        <v/>
      </c>
    </row>
    <row r="601" spans="1:11" x14ac:dyDescent="0.3">
      <c r="A601" s="9" t="str">
        <f t="shared" si="18"/>
        <v/>
      </c>
      <c r="B601" s="10"/>
      <c r="C601" s="5"/>
      <c r="D601" s="5"/>
      <c r="E601" s="11" t="str">
        <f>IF(D601="","",IFERROR(INDEX('Master Produk'!$B$2:$B$101,MATCH(D601,'Master Produk'!$A$2:$A$101,0)),"SKU tidak ada di master"))</f>
        <v/>
      </c>
      <c r="F601" s="6"/>
      <c r="G601" s="12" t="str">
        <f>IF(D601="","",IFERROR(INDEX('Master Produk'!$C$2:$C$101,MATCH(D601,'Master Produk'!$A$2:$A$101,0)),0)+SUMIFS(F$1:F600,D$1:D600,D601))</f>
        <v/>
      </c>
      <c r="H601" s="12" t="str">
        <f t="shared" si="19"/>
        <v/>
      </c>
      <c r="I601" s="5"/>
      <c r="J601" s="5"/>
      <c r="K601" s="11" t="str">
        <f>IF(D601="","",IF(ISNA(MATCH(D601,'Master Produk'!$A$2:$A$101,0)),"SKU tidak ada di master",IF(AND(C601="Stok masuk",F601&lt;0),"Stok masuk harus +",IF(AND(C601="Stok keluar",F601&gt;0),"Stok keluar harus -",IF(H601&lt;0,"Stok negatif","OK")))))</f>
        <v/>
      </c>
    </row>
    <row r="602" spans="1:11" x14ac:dyDescent="0.3">
      <c r="A602" s="9" t="str">
        <f t="shared" si="18"/>
        <v/>
      </c>
      <c r="B602" s="10"/>
      <c r="C602" s="5"/>
      <c r="D602" s="5"/>
      <c r="E602" s="11" t="str">
        <f>IF(D602="","",IFERROR(INDEX('Master Produk'!$B$2:$B$101,MATCH(D602,'Master Produk'!$A$2:$A$101,0)),"SKU tidak ada di master"))</f>
        <v/>
      </c>
      <c r="F602" s="6"/>
      <c r="G602" s="12" t="str">
        <f>IF(D602="","",IFERROR(INDEX('Master Produk'!$C$2:$C$101,MATCH(D602,'Master Produk'!$A$2:$A$101,0)),0)+SUMIFS(F$1:F601,D$1:D601,D602))</f>
        <v/>
      </c>
      <c r="H602" s="12" t="str">
        <f t="shared" si="19"/>
        <v/>
      </c>
      <c r="I602" s="5"/>
      <c r="J602" s="5"/>
      <c r="K602" s="11" t="str">
        <f>IF(D602="","",IF(ISNA(MATCH(D602,'Master Produk'!$A$2:$A$101,0)),"SKU tidak ada di master",IF(AND(C602="Stok masuk",F602&lt;0),"Stok masuk harus +",IF(AND(C602="Stok keluar",F602&gt;0),"Stok keluar harus -",IF(H602&lt;0,"Stok negatif","OK")))))</f>
        <v/>
      </c>
    </row>
    <row r="603" spans="1:11" x14ac:dyDescent="0.3">
      <c r="A603" s="9" t="str">
        <f t="shared" si="18"/>
        <v/>
      </c>
      <c r="B603" s="10"/>
      <c r="C603" s="5"/>
      <c r="D603" s="5"/>
      <c r="E603" s="11" t="str">
        <f>IF(D603="","",IFERROR(INDEX('Master Produk'!$B$2:$B$101,MATCH(D603,'Master Produk'!$A$2:$A$101,0)),"SKU tidak ada di master"))</f>
        <v/>
      </c>
      <c r="F603" s="6"/>
      <c r="G603" s="12" t="str">
        <f>IF(D603="","",IFERROR(INDEX('Master Produk'!$C$2:$C$101,MATCH(D603,'Master Produk'!$A$2:$A$101,0)),0)+SUMIFS(F$1:F602,D$1:D602,D603))</f>
        <v/>
      </c>
      <c r="H603" s="12" t="str">
        <f t="shared" si="19"/>
        <v/>
      </c>
      <c r="I603" s="5"/>
      <c r="J603" s="5"/>
      <c r="K603" s="11" t="str">
        <f>IF(D603="","",IF(ISNA(MATCH(D603,'Master Produk'!$A$2:$A$101,0)),"SKU tidak ada di master",IF(AND(C603="Stok masuk",F603&lt;0),"Stok masuk harus +",IF(AND(C603="Stok keluar",F603&gt;0),"Stok keluar harus -",IF(H603&lt;0,"Stok negatif","OK")))))</f>
        <v/>
      </c>
    </row>
    <row r="604" spans="1:11" x14ac:dyDescent="0.3">
      <c r="A604" s="9" t="str">
        <f t="shared" si="18"/>
        <v/>
      </c>
      <c r="B604" s="10"/>
      <c r="C604" s="5"/>
      <c r="D604" s="5"/>
      <c r="E604" s="11" t="str">
        <f>IF(D604="","",IFERROR(INDEX('Master Produk'!$B$2:$B$101,MATCH(D604,'Master Produk'!$A$2:$A$101,0)),"SKU tidak ada di master"))</f>
        <v/>
      </c>
      <c r="F604" s="6"/>
      <c r="G604" s="12" t="str">
        <f>IF(D604="","",IFERROR(INDEX('Master Produk'!$C$2:$C$101,MATCH(D604,'Master Produk'!$A$2:$A$101,0)),0)+SUMIFS(F$1:F603,D$1:D603,D604))</f>
        <v/>
      </c>
      <c r="H604" s="12" t="str">
        <f t="shared" si="19"/>
        <v/>
      </c>
      <c r="I604" s="5"/>
      <c r="J604" s="5"/>
      <c r="K604" s="11" t="str">
        <f>IF(D604="","",IF(ISNA(MATCH(D604,'Master Produk'!$A$2:$A$101,0)),"SKU tidak ada di master",IF(AND(C604="Stok masuk",F604&lt;0),"Stok masuk harus +",IF(AND(C604="Stok keluar",F604&gt;0),"Stok keluar harus -",IF(H604&lt;0,"Stok negatif","OK")))))</f>
        <v/>
      </c>
    </row>
    <row r="605" spans="1:11" x14ac:dyDescent="0.3">
      <c r="A605" s="9" t="str">
        <f t="shared" si="18"/>
        <v/>
      </c>
      <c r="B605" s="10"/>
      <c r="C605" s="5"/>
      <c r="D605" s="5"/>
      <c r="E605" s="11" t="str">
        <f>IF(D605="","",IFERROR(INDEX('Master Produk'!$B$2:$B$101,MATCH(D605,'Master Produk'!$A$2:$A$101,0)),"SKU tidak ada di master"))</f>
        <v/>
      </c>
      <c r="F605" s="6"/>
      <c r="G605" s="12" t="str">
        <f>IF(D605="","",IFERROR(INDEX('Master Produk'!$C$2:$C$101,MATCH(D605,'Master Produk'!$A$2:$A$101,0)),0)+SUMIFS(F$1:F604,D$1:D604,D605))</f>
        <v/>
      </c>
      <c r="H605" s="12" t="str">
        <f t="shared" si="19"/>
        <v/>
      </c>
      <c r="I605" s="5"/>
      <c r="J605" s="5"/>
      <c r="K605" s="11" t="str">
        <f>IF(D605="","",IF(ISNA(MATCH(D605,'Master Produk'!$A$2:$A$101,0)),"SKU tidak ada di master",IF(AND(C605="Stok masuk",F605&lt;0),"Stok masuk harus +",IF(AND(C605="Stok keluar",F605&gt;0),"Stok keluar harus -",IF(H605&lt;0,"Stok negatif","OK")))))</f>
        <v/>
      </c>
    </row>
    <row r="606" spans="1:11" x14ac:dyDescent="0.3">
      <c r="A606" s="9" t="str">
        <f t="shared" si="18"/>
        <v/>
      </c>
      <c r="B606" s="10"/>
      <c r="C606" s="5"/>
      <c r="D606" s="5"/>
      <c r="E606" s="11" t="str">
        <f>IF(D606="","",IFERROR(INDEX('Master Produk'!$B$2:$B$101,MATCH(D606,'Master Produk'!$A$2:$A$101,0)),"SKU tidak ada di master"))</f>
        <v/>
      </c>
      <c r="F606" s="6"/>
      <c r="G606" s="12" t="str">
        <f>IF(D606="","",IFERROR(INDEX('Master Produk'!$C$2:$C$101,MATCH(D606,'Master Produk'!$A$2:$A$101,0)),0)+SUMIFS(F$1:F605,D$1:D605,D606))</f>
        <v/>
      </c>
      <c r="H606" s="12" t="str">
        <f t="shared" si="19"/>
        <v/>
      </c>
      <c r="I606" s="5"/>
      <c r="J606" s="5"/>
      <c r="K606" s="11" t="str">
        <f>IF(D606="","",IF(ISNA(MATCH(D606,'Master Produk'!$A$2:$A$101,0)),"SKU tidak ada di master",IF(AND(C606="Stok masuk",F606&lt;0),"Stok masuk harus +",IF(AND(C606="Stok keluar",F606&gt;0),"Stok keluar harus -",IF(H606&lt;0,"Stok negatif","OK")))))</f>
        <v/>
      </c>
    </row>
    <row r="607" spans="1:11" x14ac:dyDescent="0.3">
      <c r="A607" s="9" t="str">
        <f t="shared" si="18"/>
        <v/>
      </c>
      <c r="B607" s="10"/>
      <c r="C607" s="5"/>
      <c r="D607" s="5"/>
      <c r="E607" s="11" t="str">
        <f>IF(D607="","",IFERROR(INDEX('Master Produk'!$B$2:$B$101,MATCH(D607,'Master Produk'!$A$2:$A$101,0)),"SKU tidak ada di master"))</f>
        <v/>
      </c>
      <c r="F607" s="6"/>
      <c r="G607" s="12" t="str">
        <f>IF(D607="","",IFERROR(INDEX('Master Produk'!$C$2:$C$101,MATCH(D607,'Master Produk'!$A$2:$A$101,0)),0)+SUMIFS(F$1:F606,D$1:D606,D607))</f>
        <v/>
      </c>
      <c r="H607" s="12" t="str">
        <f t="shared" si="19"/>
        <v/>
      </c>
      <c r="I607" s="5"/>
      <c r="J607" s="5"/>
      <c r="K607" s="11" t="str">
        <f>IF(D607="","",IF(ISNA(MATCH(D607,'Master Produk'!$A$2:$A$101,0)),"SKU tidak ada di master",IF(AND(C607="Stok masuk",F607&lt;0),"Stok masuk harus +",IF(AND(C607="Stok keluar",F607&gt;0),"Stok keluar harus -",IF(H607&lt;0,"Stok negatif","OK")))))</f>
        <v/>
      </c>
    </row>
    <row r="608" spans="1:11" x14ac:dyDescent="0.3">
      <c r="A608" s="9" t="str">
        <f t="shared" si="18"/>
        <v/>
      </c>
      <c r="B608" s="10"/>
      <c r="C608" s="5"/>
      <c r="D608" s="5"/>
      <c r="E608" s="11" t="str">
        <f>IF(D608="","",IFERROR(INDEX('Master Produk'!$B$2:$B$101,MATCH(D608,'Master Produk'!$A$2:$A$101,0)),"SKU tidak ada di master"))</f>
        <v/>
      </c>
      <c r="F608" s="6"/>
      <c r="G608" s="12" t="str">
        <f>IF(D608="","",IFERROR(INDEX('Master Produk'!$C$2:$C$101,MATCH(D608,'Master Produk'!$A$2:$A$101,0)),0)+SUMIFS(F$1:F607,D$1:D607,D608))</f>
        <v/>
      </c>
      <c r="H608" s="12" t="str">
        <f t="shared" si="19"/>
        <v/>
      </c>
      <c r="I608" s="5"/>
      <c r="J608" s="5"/>
      <c r="K608" s="11" t="str">
        <f>IF(D608="","",IF(ISNA(MATCH(D608,'Master Produk'!$A$2:$A$101,0)),"SKU tidak ada di master",IF(AND(C608="Stok masuk",F608&lt;0),"Stok masuk harus +",IF(AND(C608="Stok keluar",F608&gt;0),"Stok keluar harus -",IF(H608&lt;0,"Stok negatif","OK")))))</f>
        <v/>
      </c>
    </row>
    <row r="609" spans="1:11" x14ac:dyDescent="0.3">
      <c r="A609" s="9" t="str">
        <f t="shared" si="18"/>
        <v/>
      </c>
      <c r="B609" s="10"/>
      <c r="C609" s="5"/>
      <c r="D609" s="5"/>
      <c r="E609" s="11" t="str">
        <f>IF(D609="","",IFERROR(INDEX('Master Produk'!$B$2:$B$101,MATCH(D609,'Master Produk'!$A$2:$A$101,0)),"SKU tidak ada di master"))</f>
        <v/>
      </c>
      <c r="F609" s="6"/>
      <c r="G609" s="12" t="str">
        <f>IF(D609="","",IFERROR(INDEX('Master Produk'!$C$2:$C$101,MATCH(D609,'Master Produk'!$A$2:$A$101,0)),0)+SUMIFS(F$1:F608,D$1:D608,D609))</f>
        <v/>
      </c>
      <c r="H609" s="12" t="str">
        <f t="shared" si="19"/>
        <v/>
      </c>
      <c r="I609" s="5"/>
      <c r="J609" s="5"/>
      <c r="K609" s="11" t="str">
        <f>IF(D609="","",IF(ISNA(MATCH(D609,'Master Produk'!$A$2:$A$101,0)),"SKU tidak ada di master",IF(AND(C609="Stok masuk",F609&lt;0),"Stok masuk harus +",IF(AND(C609="Stok keluar",F609&gt;0),"Stok keluar harus -",IF(H609&lt;0,"Stok negatif","OK")))))</f>
        <v/>
      </c>
    </row>
    <row r="610" spans="1:11" x14ac:dyDescent="0.3">
      <c r="A610" s="9" t="str">
        <f t="shared" si="18"/>
        <v/>
      </c>
      <c r="B610" s="10"/>
      <c r="C610" s="5"/>
      <c r="D610" s="5"/>
      <c r="E610" s="11" t="str">
        <f>IF(D610="","",IFERROR(INDEX('Master Produk'!$B$2:$B$101,MATCH(D610,'Master Produk'!$A$2:$A$101,0)),"SKU tidak ada di master"))</f>
        <v/>
      </c>
      <c r="F610" s="6"/>
      <c r="G610" s="12" t="str">
        <f>IF(D610="","",IFERROR(INDEX('Master Produk'!$C$2:$C$101,MATCH(D610,'Master Produk'!$A$2:$A$101,0)),0)+SUMIFS(F$1:F609,D$1:D609,D610))</f>
        <v/>
      </c>
      <c r="H610" s="12" t="str">
        <f t="shared" si="19"/>
        <v/>
      </c>
      <c r="I610" s="5"/>
      <c r="J610" s="5"/>
      <c r="K610" s="11" t="str">
        <f>IF(D610="","",IF(ISNA(MATCH(D610,'Master Produk'!$A$2:$A$101,0)),"SKU tidak ada di master",IF(AND(C610="Stok masuk",F610&lt;0),"Stok masuk harus +",IF(AND(C610="Stok keluar",F610&gt;0),"Stok keluar harus -",IF(H610&lt;0,"Stok negatif","OK")))))</f>
        <v/>
      </c>
    </row>
    <row r="611" spans="1:11" x14ac:dyDescent="0.3">
      <c r="A611" s="9" t="str">
        <f t="shared" si="18"/>
        <v/>
      </c>
      <c r="B611" s="10"/>
      <c r="C611" s="5"/>
      <c r="D611" s="5"/>
      <c r="E611" s="11" t="str">
        <f>IF(D611="","",IFERROR(INDEX('Master Produk'!$B$2:$B$101,MATCH(D611,'Master Produk'!$A$2:$A$101,0)),"SKU tidak ada di master"))</f>
        <v/>
      </c>
      <c r="F611" s="6"/>
      <c r="G611" s="12" t="str">
        <f>IF(D611="","",IFERROR(INDEX('Master Produk'!$C$2:$C$101,MATCH(D611,'Master Produk'!$A$2:$A$101,0)),0)+SUMIFS(F$1:F610,D$1:D610,D611))</f>
        <v/>
      </c>
      <c r="H611" s="12" t="str">
        <f t="shared" si="19"/>
        <v/>
      </c>
      <c r="I611" s="5"/>
      <c r="J611" s="5"/>
      <c r="K611" s="11" t="str">
        <f>IF(D611="","",IF(ISNA(MATCH(D611,'Master Produk'!$A$2:$A$101,0)),"SKU tidak ada di master",IF(AND(C611="Stok masuk",F611&lt;0),"Stok masuk harus +",IF(AND(C611="Stok keluar",F611&gt;0),"Stok keluar harus -",IF(H611&lt;0,"Stok negatif","OK")))))</f>
        <v/>
      </c>
    </row>
    <row r="612" spans="1:11" x14ac:dyDescent="0.3">
      <c r="A612" s="9" t="str">
        <f t="shared" si="18"/>
        <v/>
      </c>
      <c r="B612" s="10"/>
      <c r="C612" s="5"/>
      <c r="D612" s="5"/>
      <c r="E612" s="11" t="str">
        <f>IF(D612="","",IFERROR(INDEX('Master Produk'!$B$2:$B$101,MATCH(D612,'Master Produk'!$A$2:$A$101,0)),"SKU tidak ada di master"))</f>
        <v/>
      </c>
      <c r="F612" s="6"/>
      <c r="G612" s="12" t="str">
        <f>IF(D612="","",IFERROR(INDEX('Master Produk'!$C$2:$C$101,MATCH(D612,'Master Produk'!$A$2:$A$101,0)),0)+SUMIFS(F$1:F611,D$1:D611,D612))</f>
        <v/>
      </c>
      <c r="H612" s="12" t="str">
        <f t="shared" si="19"/>
        <v/>
      </c>
      <c r="I612" s="5"/>
      <c r="J612" s="5"/>
      <c r="K612" s="11" t="str">
        <f>IF(D612="","",IF(ISNA(MATCH(D612,'Master Produk'!$A$2:$A$101,0)),"SKU tidak ada di master",IF(AND(C612="Stok masuk",F612&lt;0),"Stok masuk harus +",IF(AND(C612="Stok keluar",F612&gt;0),"Stok keluar harus -",IF(H612&lt;0,"Stok negatif","OK")))))</f>
        <v/>
      </c>
    </row>
    <row r="613" spans="1:11" x14ac:dyDescent="0.3">
      <c r="A613" s="9" t="str">
        <f t="shared" si="18"/>
        <v/>
      </c>
      <c r="B613" s="10"/>
      <c r="C613" s="5"/>
      <c r="D613" s="5"/>
      <c r="E613" s="11" t="str">
        <f>IF(D613="","",IFERROR(INDEX('Master Produk'!$B$2:$B$101,MATCH(D613,'Master Produk'!$A$2:$A$101,0)),"SKU tidak ada di master"))</f>
        <v/>
      </c>
      <c r="F613" s="6"/>
      <c r="G613" s="12" t="str">
        <f>IF(D613="","",IFERROR(INDEX('Master Produk'!$C$2:$C$101,MATCH(D613,'Master Produk'!$A$2:$A$101,0)),0)+SUMIFS(F$1:F612,D$1:D612,D613))</f>
        <v/>
      </c>
      <c r="H613" s="12" t="str">
        <f t="shared" si="19"/>
        <v/>
      </c>
      <c r="I613" s="5"/>
      <c r="J613" s="5"/>
      <c r="K613" s="11" t="str">
        <f>IF(D613="","",IF(ISNA(MATCH(D613,'Master Produk'!$A$2:$A$101,0)),"SKU tidak ada di master",IF(AND(C613="Stok masuk",F613&lt;0),"Stok masuk harus +",IF(AND(C613="Stok keluar",F613&gt;0),"Stok keluar harus -",IF(H613&lt;0,"Stok negatif","OK")))))</f>
        <v/>
      </c>
    </row>
    <row r="614" spans="1:11" x14ac:dyDescent="0.3">
      <c r="A614" s="9" t="str">
        <f t="shared" si="18"/>
        <v/>
      </c>
      <c r="B614" s="10"/>
      <c r="C614" s="5"/>
      <c r="D614" s="5"/>
      <c r="E614" s="11" t="str">
        <f>IF(D614="","",IFERROR(INDEX('Master Produk'!$B$2:$B$101,MATCH(D614,'Master Produk'!$A$2:$A$101,0)),"SKU tidak ada di master"))</f>
        <v/>
      </c>
      <c r="F614" s="6"/>
      <c r="G614" s="12" t="str">
        <f>IF(D614="","",IFERROR(INDEX('Master Produk'!$C$2:$C$101,MATCH(D614,'Master Produk'!$A$2:$A$101,0)),0)+SUMIFS(F$1:F613,D$1:D613,D614))</f>
        <v/>
      </c>
      <c r="H614" s="12" t="str">
        <f t="shared" si="19"/>
        <v/>
      </c>
      <c r="I614" s="5"/>
      <c r="J614" s="5"/>
      <c r="K614" s="11" t="str">
        <f>IF(D614="","",IF(ISNA(MATCH(D614,'Master Produk'!$A$2:$A$101,0)),"SKU tidak ada di master",IF(AND(C614="Stok masuk",F614&lt;0),"Stok masuk harus +",IF(AND(C614="Stok keluar",F614&gt;0),"Stok keluar harus -",IF(H614&lt;0,"Stok negatif","OK")))))</f>
        <v/>
      </c>
    </row>
    <row r="615" spans="1:11" x14ac:dyDescent="0.3">
      <c r="A615" s="9" t="str">
        <f t="shared" si="18"/>
        <v/>
      </c>
      <c r="B615" s="10"/>
      <c r="C615" s="5"/>
      <c r="D615" s="5"/>
      <c r="E615" s="11" t="str">
        <f>IF(D615="","",IFERROR(INDEX('Master Produk'!$B$2:$B$101,MATCH(D615,'Master Produk'!$A$2:$A$101,0)),"SKU tidak ada di master"))</f>
        <v/>
      </c>
      <c r="F615" s="6"/>
      <c r="G615" s="12" t="str">
        <f>IF(D615="","",IFERROR(INDEX('Master Produk'!$C$2:$C$101,MATCH(D615,'Master Produk'!$A$2:$A$101,0)),0)+SUMIFS(F$1:F614,D$1:D614,D615))</f>
        <v/>
      </c>
      <c r="H615" s="12" t="str">
        <f t="shared" si="19"/>
        <v/>
      </c>
      <c r="I615" s="5"/>
      <c r="J615" s="5"/>
      <c r="K615" s="11" t="str">
        <f>IF(D615="","",IF(ISNA(MATCH(D615,'Master Produk'!$A$2:$A$101,0)),"SKU tidak ada di master",IF(AND(C615="Stok masuk",F615&lt;0),"Stok masuk harus +",IF(AND(C615="Stok keluar",F615&gt;0),"Stok keluar harus -",IF(H615&lt;0,"Stok negatif","OK")))))</f>
        <v/>
      </c>
    </row>
    <row r="616" spans="1:11" x14ac:dyDescent="0.3">
      <c r="A616" s="9" t="str">
        <f t="shared" si="18"/>
        <v/>
      </c>
      <c r="B616" s="10"/>
      <c r="C616" s="5"/>
      <c r="D616" s="5"/>
      <c r="E616" s="11" t="str">
        <f>IF(D616="","",IFERROR(INDEX('Master Produk'!$B$2:$B$101,MATCH(D616,'Master Produk'!$A$2:$A$101,0)),"SKU tidak ada di master"))</f>
        <v/>
      </c>
      <c r="F616" s="6"/>
      <c r="G616" s="12" t="str">
        <f>IF(D616="","",IFERROR(INDEX('Master Produk'!$C$2:$C$101,MATCH(D616,'Master Produk'!$A$2:$A$101,0)),0)+SUMIFS(F$1:F615,D$1:D615,D616))</f>
        <v/>
      </c>
      <c r="H616" s="12" t="str">
        <f t="shared" si="19"/>
        <v/>
      </c>
      <c r="I616" s="5"/>
      <c r="J616" s="5"/>
      <c r="K616" s="11" t="str">
        <f>IF(D616="","",IF(ISNA(MATCH(D616,'Master Produk'!$A$2:$A$101,0)),"SKU tidak ada di master",IF(AND(C616="Stok masuk",F616&lt;0),"Stok masuk harus +",IF(AND(C616="Stok keluar",F616&gt;0),"Stok keluar harus -",IF(H616&lt;0,"Stok negatif","OK")))))</f>
        <v/>
      </c>
    </row>
    <row r="617" spans="1:11" x14ac:dyDescent="0.3">
      <c r="A617" s="9" t="str">
        <f t="shared" si="18"/>
        <v/>
      </c>
      <c r="B617" s="10"/>
      <c r="C617" s="5"/>
      <c r="D617" s="5"/>
      <c r="E617" s="11" t="str">
        <f>IF(D617="","",IFERROR(INDEX('Master Produk'!$B$2:$B$101,MATCH(D617,'Master Produk'!$A$2:$A$101,0)),"SKU tidak ada di master"))</f>
        <v/>
      </c>
      <c r="F617" s="6"/>
      <c r="G617" s="12" t="str">
        <f>IF(D617="","",IFERROR(INDEX('Master Produk'!$C$2:$C$101,MATCH(D617,'Master Produk'!$A$2:$A$101,0)),0)+SUMIFS(F$1:F616,D$1:D616,D617))</f>
        <v/>
      </c>
      <c r="H617" s="12" t="str">
        <f t="shared" si="19"/>
        <v/>
      </c>
      <c r="I617" s="5"/>
      <c r="J617" s="5"/>
      <c r="K617" s="11" t="str">
        <f>IF(D617="","",IF(ISNA(MATCH(D617,'Master Produk'!$A$2:$A$101,0)),"SKU tidak ada di master",IF(AND(C617="Stok masuk",F617&lt;0),"Stok masuk harus +",IF(AND(C617="Stok keluar",F617&gt;0),"Stok keluar harus -",IF(H617&lt;0,"Stok negatif","OK")))))</f>
        <v/>
      </c>
    </row>
    <row r="618" spans="1:11" x14ac:dyDescent="0.3">
      <c r="A618" s="9" t="str">
        <f t="shared" si="18"/>
        <v/>
      </c>
      <c r="B618" s="10"/>
      <c r="C618" s="5"/>
      <c r="D618" s="5"/>
      <c r="E618" s="11" t="str">
        <f>IF(D618="","",IFERROR(INDEX('Master Produk'!$B$2:$B$101,MATCH(D618,'Master Produk'!$A$2:$A$101,0)),"SKU tidak ada di master"))</f>
        <v/>
      </c>
      <c r="F618" s="6"/>
      <c r="G618" s="12" t="str">
        <f>IF(D618="","",IFERROR(INDEX('Master Produk'!$C$2:$C$101,MATCH(D618,'Master Produk'!$A$2:$A$101,0)),0)+SUMIFS(F$1:F617,D$1:D617,D618))</f>
        <v/>
      </c>
      <c r="H618" s="12" t="str">
        <f t="shared" si="19"/>
        <v/>
      </c>
      <c r="I618" s="5"/>
      <c r="J618" s="5"/>
      <c r="K618" s="11" t="str">
        <f>IF(D618="","",IF(ISNA(MATCH(D618,'Master Produk'!$A$2:$A$101,0)),"SKU tidak ada di master",IF(AND(C618="Stok masuk",F618&lt;0),"Stok masuk harus +",IF(AND(C618="Stok keluar",F618&gt;0),"Stok keluar harus -",IF(H618&lt;0,"Stok negatif","OK")))))</f>
        <v/>
      </c>
    </row>
    <row r="619" spans="1:11" x14ac:dyDescent="0.3">
      <c r="A619" s="9" t="str">
        <f t="shared" si="18"/>
        <v/>
      </c>
      <c r="B619" s="10"/>
      <c r="C619" s="5"/>
      <c r="D619" s="5"/>
      <c r="E619" s="11" t="str">
        <f>IF(D619="","",IFERROR(INDEX('Master Produk'!$B$2:$B$101,MATCH(D619,'Master Produk'!$A$2:$A$101,0)),"SKU tidak ada di master"))</f>
        <v/>
      </c>
      <c r="F619" s="6"/>
      <c r="G619" s="12" t="str">
        <f>IF(D619="","",IFERROR(INDEX('Master Produk'!$C$2:$C$101,MATCH(D619,'Master Produk'!$A$2:$A$101,0)),0)+SUMIFS(F$1:F618,D$1:D618,D619))</f>
        <v/>
      </c>
      <c r="H619" s="12" t="str">
        <f t="shared" si="19"/>
        <v/>
      </c>
      <c r="I619" s="5"/>
      <c r="J619" s="5"/>
      <c r="K619" s="11" t="str">
        <f>IF(D619="","",IF(ISNA(MATCH(D619,'Master Produk'!$A$2:$A$101,0)),"SKU tidak ada di master",IF(AND(C619="Stok masuk",F619&lt;0),"Stok masuk harus +",IF(AND(C619="Stok keluar",F619&gt;0),"Stok keluar harus -",IF(H619&lt;0,"Stok negatif","OK")))))</f>
        <v/>
      </c>
    </row>
    <row r="620" spans="1:11" x14ac:dyDescent="0.3">
      <c r="A620" s="9" t="str">
        <f t="shared" si="18"/>
        <v/>
      </c>
      <c r="B620" s="10"/>
      <c r="C620" s="5"/>
      <c r="D620" s="5"/>
      <c r="E620" s="11" t="str">
        <f>IF(D620="","",IFERROR(INDEX('Master Produk'!$B$2:$B$101,MATCH(D620,'Master Produk'!$A$2:$A$101,0)),"SKU tidak ada di master"))</f>
        <v/>
      </c>
      <c r="F620" s="6"/>
      <c r="G620" s="12" t="str">
        <f>IF(D620="","",IFERROR(INDEX('Master Produk'!$C$2:$C$101,MATCH(D620,'Master Produk'!$A$2:$A$101,0)),0)+SUMIFS(F$1:F619,D$1:D619,D620))</f>
        <v/>
      </c>
      <c r="H620" s="12" t="str">
        <f t="shared" si="19"/>
        <v/>
      </c>
      <c r="I620" s="5"/>
      <c r="J620" s="5"/>
      <c r="K620" s="11" t="str">
        <f>IF(D620="","",IF(ISNA(MATCH(D620,'Master Produk'!$A$2:$A$101,0)),"SKU tidak ada di master",IF(AND(C620="Stok masuk",F620&lt;0),"Stok masuk harus +",IF(AND(C620="Stok keluar",F620&gt;0),"Stok keluar harus -",IF(H620&lt;0,"Stok negatif","OK")))))</f>
        <v/>
      </c>
    </row>
    <row r="621" spans="1:11" x14ac:dyDescent="0.3">
      <c r="A621" s="9" t="str">
        <f t="shared" si="18"/>
        <v/>
      </c>
      <c r="B621" s="10"/>
      <c r="C621" s="5"/>
      <c r="D621" s="5"/>
      <c r="E621" s="11" t="str">
        <f>IF(D621="","",IFERROR(INDEX('Master Produk'!$B$2:$B$101,MATCH(D621,'Master Produk'!$A$2:$A$101,0)),"SKU tidak ada di master"))</f>
        <v/>
      </c>
      <c r="F621" s="6"/>
      <c r="G621" s="12" t="str">
        <f>IF(D621="","",IFERROR(INDEX('Master Produk'!$C$2:$C$101,MATCH(D621,'Master Produk'!$A$2:$A$101,0)),0)+SUMIFS(F$1:F620,D$1:D620,D621))</f>
        <v/>
      </c>
      <c r="H621" s="12" t="str">
        <f t="shared" si="19"/>
        <v/>
      </c>
      <c r="I621" s="5"/>
      <c r="J621" s="5"/>
      <c r="K621" s="11" t="str">
        <f>IF(D621="","",IF(ISNA(MATCH(D621,'Master Produk'!$A$2:$A$101,0)),"SKU tidak ada di master",IF(AND(C621="Stok masuk",F621&lt;0),"Stok masuk harus +",IF(AND(C621="Stok keluar",F621&gt;0),"Stok keluar harus -",IF(H621&lt;0,"Stok negatif","OK")))))</f>
        <v/>
      </c>
    </row>
    <row r="622" spans="1:11" x14ac:dyDescent="0.3">
      <c r="A622" s="9" t="str">
        <f t="shared" si="18"/>
        <v/>
      </c>
      <c r="B622" s="10"/>
      <c r="C622" s="5"/>
      <c r="D622" s="5"/>
      <c r="E622" s="11" t="str">
        <f>IF(D622="","",IFERROR(INDEX('Master Produk'!$B$2:$B$101,MATCH(D622,'Master Produk'!$A$2:$A$101,0)),"SKU tidak ada di master"))</f>
        <v/>
      </c>
      <c r="F622" s="6"/>
      <c r="G622" s="12" t="str">
        <f>IF(D622="","",IFERROR(INDEX('Master Produk'!$C$2:$C$101,MATCH(D622,'Master Produk'!$A$2:$A$101,0)),0)+SUMIFS(F$1:F621,D$1:D621,D622))</f>
        <v/>
      </c>
      <c r="H622" s="12" t="str">
        <f t="shared" si="19"/>
        <v/>
      </c>
      <c r="I622" s="5"/>
      <c r="J622" s="5"/>
      <c r="K622" s="11" t="str">
        <f>IF(D622="","",IF(ISNA(MATCH(D622,'Master Produk'!$A$2:$A$101,0)),"SKU tidak ada di master",IF(AND(C622="Stok masuk",F622&lt;0),"Stok masuk harus +",IF(AND(C622="Stok keluar",F622&gt;0),"Stok keluar harus -",IF(H622&lt;0,"Stok negatif","OK")))))</f>
        <v/>
      </c>
    </row>
    <row r="623" spans="1:11" x14ac:dyDescent="0.3">
      <c r="A623" s="9" t="str">
        <f t="shared" si="18"/>
        <v/>
      </c>
      <c r="B623" s="10"/>
      <c r="C623" s="5"/>
      <c r="D623" s="5"/>
      <c r="E623" s="11" t="str">
        <f>IF(D623="","",IFERROR(INDEX('Master Produk'!$B$2:$B$101,MATCH(D623,'Master Produk'!$A$2:$A$101,0)),"SKU tidak ada di master"))</f>
        <v/>
      </c>
      <c r="F623" s="6"/>
      <c r="G623" s="12" t="str">
        <f>IF(D623="","",IFERROR(INDEX('Master Produk'!$C$2:$C$101,MATCH(D623,'Master Produk'!$A$2:$A$101,0)),0)+SUMIFS(F$1:F622,D$1:D622,D623))</f>
        <v/>
      </c>
      <c r="H623" s="12" t="str">
        <f t="shared" si="19"/>
        <v/>
      </c>
      <c r="I623" s="5"/>
      <c r="J623" s="5"/>
      <c r="K623" s="11" t="str">
        <f>IF(D623="","",IF(ISNA(MATCH(D623,'Master Produk'!$A$2:$A$101,0)),"SKU tidak ada di master",IF(AND(C623="Stok masuk",F623&lt;0),"Stok masuk harus +",IF(AND(C623="Stok keluar",F623&gt;0),"Stok keluar harus -",IF(H623&lt;0,"Stok negatif","OK")))))</f>
        <v/>
      </c>
    </row>
    <row r="624" spans="1:11" x14ac:dyDescent="0.3">
      <c r="A624" s="9" t="str">
        <f t="shared" si="18"/>
        <v/>
      </c>
      <c r="B624" s="10"/>
      <c r="C624" s="5"/>
      <c r="D624" s="5"/>
      <c r="E624" s="11" t="str">
        <f>IF(D624="","",IFERROR(INDEX('Master Produk'!$B$2:$B$101,MATCH(D624,'Master Produk'!$A$2:$A$101,0)),"SKU tidak ada di master"))</f>
        <v/>
      </c>
      <c r="F624" s="6"/>
      <c r="G624" s="12" t="str">
        <f>IF(D624="","",IFERROR(INDEX('Master Produk'!$C$2:$C$101,MATCH(D624,'Master Produk'!$A$2:$A$101,0)),0)+SUMIFS(F$1:F623,D$1:D623,D624))</f>
        <v/>
      </c>
      <c r="H624" s="12" t="str">
        <f t="shared" si="19"/>
        <v/>
      </c>
      <c r="I624" s="5"/>
      <c r="J624" s="5"/>
      <c r="K624" s="11" t="str">
        <f>IF(D624="","",IF(ISNA(MATCH(D624,'Master Produk'!$A$2:$A$101,0)),"SKU tidak ada di master",IF(AND(C624="Stok masuk",F624&lt;0),"Stok masuk harus +",IF(AND(C624="Stok keluar",F624&gt;0),"Stok keluar harus -",IF(H624&lt;0,"Stok negatif","OK")))))</f>
        <v/>
      </c>
    </row>
    <row r="625" spans="1:11" x14ac:dyDescent="0.3">
      <c r="A625" s="9" t="str">
        <f t="shared" si="18"/>
        <v/>
      </c>
      <c r="B625" s="10"/>
      <c r="C625" s="5"/>
      <c r="D625" s="5"/>
      <c r="E625" s="11" t="str">
        <f>IF(D625="","",IFERROR(INDEX('Master Produk'!$B$2:$B$101,MATCH(D625,'Master Produk'!$A$2:$A$101,0)),"SKU tidak ada di master"))</f>
        <v/>
      </c>
      <c r="F625" s="6"/>
      <c r="G625" s="12" t="str">
        <f>IF(D625="","",IFERROR(INDEX('Master Produk'!$C$2:$C$101,MATCH(D625,'Master Produk'!$A$2:$A$101,0)),0)+SUMIFS(F$1:F624,D$1:D624,D625))</f>
        <v/>
      </c>
      <c r="H625" s="12" t="str">
        <f t="shared" si="19"/>
        <v/>
      </c>
      <c r="I625" s="5"/>
      <c r="J625" s="5"/>
      <c r="K625" s="11" t="str">
        <f>IF(D625="","",IF(ISNA(MATCH(D625,'Master Produk'!$A$2:$A$101,0)),"SKU tidak ada di master",IF(AND(C625="Stok masuk",F625&lt;0),"Stok masuk harus +",IF(AND(C625="Stok keluar",F625&gt;0),"Stok keluar harus -",IF(H625&lt;0,"Stok negatif","OK")))))</f>
        <v/>
      </c>
    </row>
    <row r="626" spans="1:11" x14ac:dyDescent="0.3">
      <c r="A626" s="9" t="str">
        <f t="shared" si="18"/>
        <v/>
      </c>
      <c r="B626" s="10"/>
      <c r="C626" s="5"/>
      <c r="D626" s="5"/>
      <c r="E626" s="11" t="str">
        <f>IF(D626="","",IFERROR(INDEX('Master Produk'!$B$2:$B$101,MATCH(D626,'Master Produk'!$A$2:$A$101,0)),"SKU tidak ada di master"))</f>
        <v/>
      </c>
      <c r="F626" s="6"/>
      <c r="G626" s="12" t="str">
        <f>IF(D626="","",IFERROR(INDEX('Master Produk'!$C$2:$C$101,MATCH(D626,'Master Produk'!$A$2:$A$101,0)),0)+SUMIFS(F$1:F625,D$1:D625,D626))</f>
        <v/>
      </c>
      <c r="H626" s="12" t="str">
        <f t="shared" si="19"/>
        <v/>
      </c>
      <c r="I626" s="5"/>
      <c r="J626" s="5"/>
      <c r="K626" s="11" t="str">
        <f>IF(D626="","",IF(ISNA(MATCH(D626,'Master Produk'!$A$2:$A$101,0)),"SKU tidak ada di master",IF(AND(C626="Stok masuk",F626&lt;0),"Stok masuk harus +",IF(AND(C626="Stok keluar",F626&gt;0),"Stok keluar harus -",IF(H626&lt;0,"Stok negatif","OK")))))</f>
        <v/>
      </c>
    </row>
    <row r="627" spans="1:11" x14ac:dyDescent="0.3">
      <c r="A627" s="9" t="str">
        <f t="shared" si="18"/>
        <v/>
      </c>
      <c r="B627" s="10"/>
      <c r="C627" s="5"/>
      <c r="D627" s="5"/>
      <c r="E627" s="11" t="str">
        <f>IF(D627="","",IFERROR(INDEX('Master Produk'!$B$2:$B$101,MATCH(D627,'Master Produk'!$A$2:$A$101,0)),"SKU tidak ada di master"))</f>
        <v/>
      </c>
      <c r="F627" s="6"/>
      <c r="G627" s="12" t="str">
        <f>IF(D627="","",IFERROR(INDEX('Master Produk'!$C$2:$C$101,MATCH(D627,'Master Produk'!$A$2:$A$101,0)),0)+SUMIFS(F$1:F626,D$1:D626,D627))</f>
        <v/>
      </c>
      <c r="H627" s="12" t="str">
        <f t="shared" si="19"/>
        <v/>
      </c>
      <c r="I627" s="5"/>
      <c r="J627" s="5"/>
      <c r="K627" s="11" t="str">
        <f>IF(D627="","",IF(ISNA(MATCH(D627,'Master Produk'!$A$2:$A$101,0)),"SKU tidak ada di master",IF(AND(C627="Stok masuk",F627&lt;0),"Stok masuk harus +",IF(AND(C627="Stok keluar",F627&gt;0),"Stok keluar harus -",IF(H627&lt;0,"Stok negatif","OK")))))</f>
        <v/>
      </c>
    </row>
    <row r="628" spans="1:11" x14ac:dyDescent="0.3">
      <c r="A628" s="9" t="str">
        <f t="shared" si="18"/>
        <v/>
      </c>
      <c r="B628" s="10"/>
      <c r="C628" s="5"/>
      <c r="D628" s="5"/>
      <c r="E628" s="11" t="str">
        <f>IF(D628="","",IFERROR(INDEX('Master Produk'!$B$2:$B$101,MATCH(D628,'Master Produk'!$A$2:$A$101,0)),"SKU tidak ada di master"))</f>
        <v/>
      </c>
      <c r="F628" s="6"/>
      <c r="G628" s="12" t="str">
        <f>IF(D628="","",IFERROR(INDEX('Master Produk'!$C$2:$C$101,MATCH(D628,'Master Produk'!$A$2:$A$101,0)),0)+SUMIFS(F$1:F627,D$1:D627,D628))</f>
        <v/>
      </c>
      <c r="H628" s="12" t="str">
        <f t="shared" si="19"/>
        <v/>
      </c>
      <c r="I628" s="5"/>
      <c r="J628" s="5"/>
      <c r="K628" s="11" t="str">
        <f>IF(D628="","",IF(ISNA(MATCH(D628,'Master Produk'!$A$2:$A$101,0)),"SKU tidak ada di master",IF(AND(C628="Stok masuk",F628&lt;0),"Stok masuk harus +",IF(AND(C628="Stok keluar",F628&gt;0),"Stok keluar harus -",IF(H628&lt;0,"Stok negatif","OK")))))</f>
        <v/>
      </c>
    </row>
    <row r="629" spans="1:11" x14ac:dyDescent="0.3">
      <c r="A629" s="9" t="str">
        <f t="shared" si="18"/>
        <v/>
      </c>
      <c r="B629" s="10"/>
      <c r="C629" s="5"/>
      <c r="D629" s="5"/>
      <c r="E629" s="11" t="str">
        <f>IF(D629="","",IFERROR(INDEX('Master Produk'!$B$2:$B$101,MATCH(D629,'Master Produk'!$A$2:$A$101,0)),"SKU tidak ada di master"))</f>
        <v/>
      </c>
      <c r="F629" s="6"/>
      <c r="G629" s="12" t="str">
        <f>IF(D629="","",IFERROR(INDEX('Master Produk'!$C$2:$C$101,MATCH(D629,'Master Produk'!$A$2:$A$101,0)),0)+SUMIFS(F$1:F628,D$1:D628,D629))</f>
        <v/>
      </c>
      <c r="H629" s="12" t="str">
        <f t="shared" si="19"/>
        <v/>
      </c>
      <c r="I629" s="5"/>
      <c r="J629" s="5"/>
      <c r="K629" s="11" t="str">
        <f>IF(D629="","",IF(ISNA(MATCH(D629,'Master Produk'!$A$2:$A$101,0)),"SKU tidak ada di master",IF(AND(C629="Stok masuk",F629&lt;0),"Stok masuk harus +",IF(AND(C629="Stok keluar",F629&gt;0),"Stok keluar harus -",IF(H629&lt;0,"Stok negatif","OK")))))</f>
        <v/>
      </c>
    </row>
    <row r="630" spans="1:11" x14ac:dyDescent="0.3">
      <c r="A630" s="9" t="str">
        <f t="shared" si="18"/>
        <v/>
      </c>
      <c r="B630" s="10"/>
      <c r="C630" s="5"/>
      <c r="D630" s="5"/>
      <c r="E630" s="11" t="str">
        <f>IF(D630="","",IFERROR(INDEX('Master Produk'!$B$2:$B$101,MATCH(D630,'Master Produk'!$A$2:$A$101,0)),"SKU tidak ada di master"))</f>
        <v/>
      </c>
      <c r="F630" s="6"/>
      <c r="G630" s="12" t="str">
        <f>IF(D630="","",IFERROR(INDEX('Master Produk'!$C$2:$C$101,MATCH(D630,'Master Produk'!$A$2:$A$101,0)),0)+SUMIFS(F$1:F629,D$1:D629,D630))</f>
        <v/>
      </c>
      <c r="H630" s="12" t="str">
        <f t="shared" si="19"/>
        <v/>
      </c>
      <c r="I630" s="5"/>
      <c r="J630" s="5"/>
      <c r="K630" s="11" t="str">
        <f>IF(D630="","",IF(ISNA(MATCH(D630,'Master Produk'!$A$2:$A$101,0)),"SKU tidak ada di master",IF(AND(C630="Stok masuk",F630&lt;0),"Stok masuk harus +",IF(AND(C630="Stok keluar",F630&gt;0),"Stok keluar harus -",IF(H630&lt;0,"Stok negatif","OK")))))</f>
        <v/>
      </c>
    </row>
    <row r="631" spans="1:11" x14ac:dyDescent="0.3">
      <c r="A631" s="9" t="str">
        <f t="shared" si="18"/>
        <v/>
      </c>
      <c r="B631" s="10"/>
      <c r="C631" s="5"/>
      <c r="D631" s="5"/>
      <c r="E631" s="11" t="str">
        <f>IF(D631="","",IFERROR(INDEX('Master Produk'!$B$2:$B$101,MATCH(D631,'Master Produk'!$A$2:$A$101,0)),"SKU tidak ada di master"))</f>
        <v/>
      </c>
      <c r="F631" s="6"/>
      <c r="G631" s="12" t="str">
        <f>IF(D631="","",IFERROR(INDEX('Master Produk'!$C$2:$C$101,MATCH(D631,'Master Produk'!$A$2:$A$101,0)),0)+SUMIFS(F$1:F630,D$1:D630,D631))</f>
        <v/>
      </c>
      <c r="H631" s="12" t="str">
        <f t="shared" si="19"/>
        <v/>
      </c>
      <c r="I631" s="5"/>
      <c r="J631" s="5"/>
      <c r="K631" s="11" t="str">
        <f>IF(D631="","",IF(ISNA(MATCH(D631,'Master Produk'!$A$2:$A$101,0)),"SKU tidak ada di master",IF(AND(C631="Stok masuk",F631&lt;0),"Stok masuk harus +",IF(AND(C631="Stok keluar",F631&gt;0),"Stok keluar harus -",IF(H631&lt;0,"Stok negatif","OK")))))</f>
        <v/>
      </c>
    </row>
    <row r="632" spans="1:11" x14ac:dyDescent="0.3">
      <c r="A632" s="9" t="str">
        <f t="shared" si="18"/>
        <v/>
      </c>
      <c r="B632" s="10"/>
      <c r="C632" s="5"/>
      <c r="D632" s="5"/>
      <c r="E632" s="11" t="str">
        <f>IF(D632="","",IFERROR(INDEX('Master Produk'!$B$2:$B$101,MATCH(D632,'Master Produk'!$A$2:$A$101,0)),"SKU tidak ada di master"))</f>
        <v/>
      </c>
      <c r="F632" s="6"/>
      <c r="G632" s="12" t="str">
        <f>IF(D632="","",IFERROR(INDEX('Master Produk'!$C$2:$C$101,MATCH(D632,'Master Produk'!$A$2:$A$101,0)),0)+SUMIFS(F$1:F631,D$1:D631,D632))</f>
        <v/>
      </c>
      <c r="H632" s="12" t="str">
        <f t="shared" si="19"/>
        <v/>
      </c>
      <c r="I632" s="5"/>
      <c r="J632" s="5"/>
      <c r="K632" s="11" t="str">
        <f>IF(D632="","",IF(ISNA(MATCH(D632,'Master Produk'!$A$2:$A$101,0)),"SKU tidak ada di master",IF(AND(C632="Stok masuk",F632&lt;0),"Stok masuk harus +",IF(AND(C632="Stok keluar",F632&gt;0),"Stok keluar harus -",IF(H632&lt;0,"Stok negatif","OK")))))</f>
        <v/>
      </c>
    </row>
    <row r="633" spans="1:11" x14ac:dyDescent="0.3">
      <c r="A633" s="9" t="str">
        <f t="shared" si="18"/>
        <v/>
      </c>
      <c r="B633" s="10"/>
      <c r="C633" s="5"/>
      <c r="D633" s="5"/>
      <c r="E633" s="11" t="str">
        <f>IF(D633="","",IFERROR(INDEX('Master Produk'!$B$2:$B$101,MATCH(D633,'Master Produk'!$A$2:$A$101,0)),"SKU tidak ada di master"))</f>
        <v/>
      </c>
      <c r="F633" s="6"/>
      <c r="G633" s="12" t="str">
        <f>IF(D633="","",IFERROR(INDEX('Master Produk'!$C$2:$C$101,MATCH(D633,'Master Produk'!$A$2:$A$101,0)),0)+SUMIFS(F$1:F632,D$1:D632,D633))</f>
        <v/>
      </c>
      <c r="H633" s="12" t="str">
        <f t="shared" si="19"/>
        <v/>
      </c>
      <c r="I633" s="5"/>
      <c r="J633" s="5"/>
      <c r="K633" s="11" t="str">
        <f>IF(D633="","",IF(ISNA(MATCH(D633,'Master Produk'!$A$2:$A$101,0)),"SKU tidak ada di master",IF(AND(C633="Stok masuk",F633&lt;0),"Stok masuk harus +",IF(AND(C633="Stok keluar",F633&gt;0),"Stok keluar harus -",IF(H633&lt;0,"Stok negatif","OK")))))</f>
        <v/>
      </c>
    </row>
    <row r="634" spans="1:11" x14ac:dyDescent="0.3">
      <c r="A634" s="9" t="str">
        <f t="shared" si="18"/>
        <v/>
      </c>
      <c r="B634" s="10"/>
      <c r="C634" s="5"/>
      <c r="D634" s="5"/>
      <c r="E634" s="11" t="str">
        <f>IF(D634="","",IFERROR(INDEX('Master Produk'!$B$2:$B$101,MATCH(D634,'Master Produk'!$A$2:$A$101,0)),"SKU tidak ada di master"))</f>
        <v/>
      </c>
      <c r="F634" s="6"/>
      <c r="G634" s="12" t="str">
        <f>IF(D634="","",IFERROR(INDEX('Master Produk'!$C$2:$C$101,MATCH(D634,'Master Produk'!$A$2:$A$101,0)),0)+SUMIFS(F$1:F633,D$1:D633,D634))</f>
        <v/>
      </c>
      <c r="H634" s="12" t="str">
        <f t="shared" si="19"/>
        <v/>
      </c>
      <c r="I634" s="5"/>
      <c r="J634" s="5"/>
      <c r="K634" s="11" t="str">
        <f>IF(D634="","",IF(ISNA(MATCH(D634,'Master Produk'!$A$2:$A$101,0)),"SKU tidak ada di master",IF(AND(C634="Stok masuk",F634&lt;0),"Stok masuk harus +",IF(AND(C634="Stok keluar",F634&gt;0),"Stok keluar harus -",IF(H634&lt;0,"Stok negatif","OK")))))</f>
        <v/>
      </c>
    </row>
    <row r="635" spans="1:11" x14ac:dyDescent="0.3">
      <c r="A635" s="9" t="str">
        <f t="shared" si="18"/>
        <v/>
      </c>
      <c r="B635" s="10"/>
      <c r="C635" s="5"/>
      <c r="D635" s="5"/>
      <c r="E635" s="11" t="str">
        <f>IF(D635="","",IFERROR(INDEX('Master Produk'!$B$2:$B$101,MATCH(D635,'Master Produk'!$A$2:$A$101,0)),"SKU tidak ada di master"))</f>
        <v/>
      </c>
      <c r="F635" s="6"/>
      <c r="G635" s="12" t="str">
        <f>IF(D635="","",IFERROR(INDEX('Master Produk'!$C$2:$C$101,MATCH(D635,'Master Produk'!$A$2:$A$101,0)),0)+SUMIFS(F$1:F634,D$1:D634,D635))</f>
        <v/>
      </c>
      <c r="H635" s="12" t="str">
        <f t="shared" si="19"/>
        <v/>
      </c>
      <c r="I635" s="5"/>
      <c r="J635" s="5"/>
      <c r="K635" s="11" t="str">
        <f>IF(D635="","",IF(ISNA(MATCH(D635,'Master Produk'!$A$2:$A$101,0)),"SKU tidak ada di master",IF(AND(C635="Stok masuk",F635&lt;0),"Stok masuk harus +",IF(AND(C635="Stok keluar",F635&gt;0),"Stok keluar harus -",IF(H635&lt;0,"Stok negatif","OK")))))</f>
        <v/>
      </c>
    </row>
    <row r="636" spans="1:11" x14ac:dyDescent="0.3">
      <c r="A636" s="9" t="str">
        <f t="shared" si="18"/>
        <v/>
      </c>
      <c r="B636" s="10"/>
      <c r="C636" s="5"/>
      <c r="D636" s="5"/>
      <c r="E636" s="11" t="str">
        <f>IF(D636="","",IFERROR(INDEX('Master Produk'!$B$2:$B$101,MATCH(D636,'Master Produk'!$A$2:$A$101,0)),"SKU tidak ada di master"))</f>
        <v/>
      </c>
      <c r="F636" s="6"/>
      <c r="G636" s="12" t="str">
        <f>IF(D636="","",IFERROR(INDEX('Master Produk'!$C$2:$C$101,MATCH(D636,'Master Produk'!$A$2:$A$101,0)),0)+SUMIFS(F$1:F635,D$1:D635,D636))</f>
        <v/>
      </c>
      <c r="H636" s="12" t="str">
        <f t="shared" si="19"/>
        <v/>
      </c>
      <c r="I636" s="5"/>
      <c r="J636" s="5"/>
      <c r="K636" s="11" t="str">
        <f>IF(D636="","",IF(ISNA(MATCH(D636,'Master Produk'!$A$2:$A$101,0)),"SKU tidak ada di master",IF(AND(C636="Stok masuk",F636&lt;0),"Stok masuk harus +",IF(AND(C636="Stok keluar",F636&gt;0),"Stok keluar harus -",IF(H636&lt;0,"Stok negatif","OK")))))</f>
        <v/>
      </c>
    </row>
    <row r="637" spans="1:11" x14ac:dyDescent="0.3">
      <c r="A637" s="9" t="str">
        <f t="shared" si="18"/>
        <v/>
      </c>
      <c r="B637" s="10"/>
      <c r="C637" s="5"/>
      <c r="D637" s="5"/>
      <c r="E637" s="11" t="str">
        <f>IF(D637="","",IFERROR(INDEX('Master Produk'!$B$2:$B$101,MATCH(D637,'Master Produk'!$A$2:$A$101,0)),"SKU tidak ada di master"))</f>
        <v/>
      </c>
      <c r="F637" s="6"/>
      <c r="G637" s="12" t="str">
        <f>IF(D637="","",IFERROR(INDEX('Master Produk'!$C$2:$C$101,MATCH(D637,'Master Produk'!$A$2:$A$101,0)),0)+SUMIFS(F$1:F636,D$1:D636,D637))</f>
        <v/>
      </c>
      <c r="H637" s="12" t="str">
        <f t="shared" si="19"/>
        <v/>
      </c>
      <c r="I637" s="5"/>
      <c r="J637" s="5"/>
      <c r="K637" s="11" t="str">
        <f>IF(D637="","",IF(ISNA(MATCH(D637,'Master Produk'!$A$2:$A$101,0)),"SKU tidak ada di master",IF(AND(C637="Stok masuk",F637&lt;0),"Stok masuk harus +",IF(AND(C637="Stok keluar",F637&gt;0),"Stok keluar harus -",IF(H637&lt;0,"Stok negatif","OK")))))</f>
        <v/>
      </c>
    </row>
    <row r="638" spans="1:11" x14ac:dyDescent="0.3">
      <c r="A638" s="9" t="str">
        <f t="shared" si="18"/>
        <v/>
      </c>
      <c r="B638" s="10"/>
      <c r="C638" s="5"/>
      <c r="D638" s="5"/>
      <c r="E638" s="11" t="str">
        <f>IF(D638="","",IFERROR(INDEX('Master Produk'!$B$2:$B$101,MATCH(D638,'Master Produk'!$A$2:$A$101,0)),"SKU tidak ada di master"))</f>
        <v/>
      </c>
      <c r="F638" s="6"/>
      <c r="G638" s="12" t="str">
        <f>IF(D638="","",IFERROR(INDEX('Master Produk'!$C$2:$C$101,MATCH(D638,'Master Produk'!$A$2:$A$101,0)),0)+SUMIFS(F$1:F637,D$1:D637,D638))</f>
        <v/>
      </c>
      <c r="H638" s="12" t="str">
        <f t="shared" si="19"/>
        <v/>
      </c>
      <c r="I638" s="5"/>
      <c r="J638" s="5"/>
      <c r="K638" s="11" t="str">
        <f>IF(D638="","",IF(ISNA(MATCH(D638,'Master Produk'!$A$2:$A$101,0)),"SKU tidak ada di master",IF(AND(C638="Stok masuk",F638&lt;0),"Stok masuk harus +",IF(AND(C638="Stok keluar",F638&gt;0),"Stok keluar harus -",IF(H638&lt;0,"Stok negatif","OK")))))</f>
        <v/>
      </c>
    </row>
    <row r="639" spans="1:11" x14ac:dyDescent="0.3">
      <c r="A639" s="9" t="str">
        <f t="shared" si="18"/>
        <v/>
      </c>
      <c r="B639" s="10"/>
      <c r="C639" s="5"/>
      <c r="D639" s="5"/>
      <c r="E639" s="11" t="str">
        <f>IF(D639="","",IFERROR(INDEX('Master Produk'!$B$2:$B$101,MATCH(D639,'Master Produk'!$A$2:$A$101,0)),"SKU tidak ada di master"))</f>
        <v/>
      </c>
      <c r="F639" s="6"/>
      <c r="G639" s="12" t="str">
        <f>IF(D639="","",IFERROR(INDEX('Master Produk'!$C$2:$C$101,MATCH(D639,'Master Produk'!$A$2:$A$101,0)),0)+SUMIFS(F$1:F638,D$1:D638,D639))</f>
        <v/>
      </c>
      <c r="H639" s="12" t="str">
        <f t="shared" si="19"/>
        <v/>
      </c>
      <c r="I639" s="5"/>
      <c r="J639" s="5"/>
      <c r="K639" s="11" t="str">
        <f>IF(D639="","",IF(ISNA(MATCH(D639,'Master Produk'!$A$2:$A$101,0)),"SKU tidak ada di master",IF(AND(C639="Stok masuk",F639&lt;0),"Stok masuk harus +",IF(AND(C639="Stok keluar",F639&gt;0),"Stok keluar harus -",IF(H639&lt;0,"Stok negatif","OK")))))</f>
        <v/>
      </c>
    </row>
    <row r="640" spans="1:11" x14ac:dyDescent="0.3">
      <c r="A640" s="9" t="str">
        <f t="shared" si="18"/>
        <v/>
      </c>
      <c r="B640" s="10"/>
      <c r="C640" s="5"/>
      <c r="D640" s="5"/>
      <c r="E640" s="11" t="str">
        <f>IF(D640="","",IFERROR(INDEX('Master Produk'!$B$2:$B$101,MATCH(D640,'Master Produk'!$A$2:$A$101,0)),"SKU tidak ada di master"))</f>
        <v/>
      </c>
      <c r="F640" s="6"/>
      <c r="G640" s="12" t="str">
        <f>IF(D640="","",IFERROR(INDEX('Master Produk'!$C$2:$C$101,MATCH(D640,'Master Produk'!$A$2:$A$101,0)),0)+SUMIFS(F$1:F639,D$1:D639,D640))</f>
        <v/>
      </c>
      <c r="H640" s="12" t="str">
        <f t="shared" si="19"/>
        <v/>
      </c>
      <c r="I640" s="5"/>
      <c r="J640" s="5"/>
      <c r="K640" s="11" t="str">
        <f>IF(D640="","",IF(ISNA(MATCH(D640,'Master Produk'!$A$2:$A$101,0)),"SKU tidak ada di master",IF(AND(C640="Stok masuk",F640&lt;0),"Stok masuk harus +",IF(AND(C640="Stok keluar",F640&gt;0),"Stok keluar harus -",IF(H640&lt;0,"Stok negatif","OK")))))</f>
        <v/>
      </c>
    </row>
    <row r="641" spans="1:11" x14ac:dyDescent="0.3">
      <c r="A641" s="9" t="str">
        <f t="shared" si="18"/>
        <v/>
      </c>
      <c r="B641" s="10"/>
      <c r="C641" s="5"/>
      <c r="D641" s="5"/>
      <c r="E641" s="11" t="str">
        <f>IF(D641="","",IFERROR(INDEX('Master Produk'!$B$2:$B$101,MATCH(D641,'Master Produk'!$A$2:$A$101,0)),"SKU tidak ada di master"))</f>
        <v/>
      </c>
      <c r="F641" s="6"/>
      <c r="G641" s="12" t="str">
        <f>IF(D641="","",IFERROR(INDEX('Master Produk'!$C$2:$C$101,MATCH(D641,'Master Produk'!$A$2:$A$101,0)),0)+SUMIFS(F$1:F640,D$1:D640,D641))</f>
        <v/>
      </c>
      <c r="H641" s="12" t="str">
        <f t="shared" si="19"/>
        <v/>
      </c>
      <c r="I641" s="5"/>
      <c r="J641" s="5"/>
      <c r="K641" s="11" t="str">
        <f>IF(D641="","",IF(ISNA(MATCH(D641,'Master Produk'!$A$2:$A$101,0)),"SKU tidak ada di master",IF(AND(C641="Stok masuk",F641&lt;0),"Stok masuk harus +",IF(AND(C641="Stok keluar",F641&gt;0),"Stok keluar harus -",IF(H641&lt;0,"Stok negatif","OK")))))</f>
        <v/>
      </c>
    </row>
    <row r="642" spans="1:11" x14ac:dyDescent="0.3">
      <c r="A642" s="9" t="str">
        <f t="shared" ref="A642:A705" si="20">IF(D642="","",ROW()-1)</f>
        <v/>
      </c>
      <c r="B642" s="10"/>
      <c r="C642" s="5"/>
      <c r="D642" s="5"/>
      <c r="E642" s="11" t="str">
        <f>IF(D642="","",IFERROR(INDEX('Master Produk'!$B$2:$B$101,MATCH(D642,'Master Produk'!$A$2:$A$101,0)),"SKU tidak ada di master"))</f>
        <v/>
      </c>
      <c r="F642" s="6"/>
      <c r="G642" s="12" t="str">
        <f>IF(D642="","",IFERROR(INDEX('Master Produk'!$C$2:$C$101,MATCH(D642,'Master Produk'!$A$2:$A$101,0)),0)+SUMIFS(F$1:F641,D$1:D641,D642))</f>
        <v/>
      </c>
      <c r="H642" s="12" t="str">
        <f t="shared" ref="H642:H705" si="21">IF(D642="","",G642+F642)</f>
        <v/>
      </c>
      <c r="I642" s="5"/>
      <c r="J642" s="5"/>
      <c r="K642" s="11" t="str">
        <f>IF(D642="","",IF(ISNA(MATCH(D642,'Master Produk'!$A$2:$A$101,0)),"SKU tidak ada di master",IF(AND(C642="Stok masuk",F642&lt;0),"Stok masuk harus +",IF(AND(C642="Stok keluar",F642&gt;0),"Stok keluar harus -",IF(H642&lt;0,"Stok negatif","OK")))))</f>
        <v/>
      </c>
    </row>
    <row r="643" spans="1:11" x14ac:dyDescent="0.3">
      <c r="A643" s="9" t="str">
        <f t="shared" si="20"/>
        <v/>
      </c>
      <c r="B643" s="10"/>
      <c r="C643" s="5"/>
      <c r="D643" s="5"/>
      <c r="E643" s="11" t="str">
        <f>IF(D643="","",IFERROR(INDEX('Master Produk'!$B$2:$B$101,MATCH(D643,'Master Produk'!$A$2:$A$101,0)),"SKU tidak ada di master"))</f>
        <v/>
      </c>
      <c r="F643" s="6"/>
      <c r="G643" s="12" t="str">
        <f>IF(D643="","",IFERROR(INDEX('Master Produk'!$C$2:$C$101,MATCH(D643,'Master Produk'!$A$2:$A$101,0)),0)+SUMIFS(F$1:F642,D$1:D642,D643))</f>
        <v/>
      </c>
      <c r="H643" s="12" t="str">
        <f t="shared" si="21"/>
        <v/>
      </c>
      <c r="I643" s="5"/>
      <c r="J643" s="5"/>
      <c r="K643" s="11" t="str">
        <f>IF(D643="","",IF(ISNA(MATCH(D643,'Master Produk'!$A$2:$A$101,0)),"SKU tidak ada di master",IF(AND(C643="Stok masuk",F643&lt;0),"Stok masuk harus +",IF(AND(C643="Stok keluar",F643&gt;0),"Stok keluar harus -",IF(H643&lt;0,"Stok negatif","OK")))))</f>
        <v/>
      </c>
    </row>
    <row r="644" spans="1:11" x14ac:dyDescent="0.3">
      <c r="A644" s="9" t="str">
        <f t="shared" si="20"/>
        <v/>
      </c>
      <c r="B644" s="10"/>
      <c r="C644" s="5"/>
      <c r="D644" s="5"/>
      <c r="E644" s="11" t="str">
        <f>IF(D644="","",IFERROR(INDEX('Master Produk'!$B$2:$B$101,MATCH(D644,'Master Produk'!$A$2:$A$101,0)),"SKU tidak ada di master"))</f>
        <v/>
      </c>
      <c r="F644" s="6"/>
      <c r="G644" s="12" t="str">
        <f>IF(D644="","",IFERROR(INDEX('Master Produk'!$C$2:$C$101,MATCH(D644,'Master Produk'!$A$2:$A$101,0)),0)+SUMIFS(F$1:F643,D$1:D643,D644))</f>
        <v/>
      </c>
      <c r="H644" s="12" t="str">
        <f t="shared" si="21"/>
        <v/>
      </c>
      <c r="I644" s="5"/>
      <c r="J644" s="5"/>
      <c r="K644" s="11" t="str">
        <f>IF(D644="","",IF(ISNA(MATCH(D644,'Master Produk'!$A$2:$A$101,0)),"SKU tidak ada di master",IF(AND(C644="Stok masuk",F644&lt;0),"Stok masuk harus +",IF(AND(C644="Stok keluar",F644&gt;0),"Stok keluar harus -",IF(H644&lt;0,"Stok negatif","OK")))))</f>
        <v/>
      </c>
    </row>
    <row r="645" spans="1:11" x14ac:dyDescent="0.3">
      <c r="A645" s="9" t="str">
        <f t="shared" si="20"/>
        <v/>
      </c>
      <c r="B645" s="10"/>
      <c r="C645" s="5"/>
      <c r="D645" s="5"/>
      <c r="E645" s="11" t="str">
        <f>IF(D645="","",IFERROR(INDEX('Master Produk'!$B$2:$B$101,MATCH(D645,'Master Produk'!$A$2:$A$101,0)),"SKU tidak ada di master"))</f>
        <v/>
      </c>
      <c r="F645" s="6"/>
      <c r="G645" s="12" t="str">
        <f>IF(D645="","",IFERROR(INDEX('Master Produk'!$C$2:$C$101,MATCH(D645,'Master Produk'!$A$2:$A$101,0)),0)+SUMIFS(F$1:F644,D$1:D644,D645))</f>
        <v/>
      </c>
      <c r="H645" s="12" t="str">
        <f t="shared" si="21"/>
        <v/>
      </c>
      <c r="I645" s="5"/>
      <c r="J645" s="5"/>
      <c r="K645" s="11" t="str">
        <f>IF(D645="","",IF(ISNA(MATCH(D645,'Master Produk'!$A$2:$A$101,0)),"SKU tidak ada di master",IF(AND(C645="Stok masuk",F645&lt;0),"Stok masuk harus +",IF(AND(C645="Stok keluar",F645&gt;0),"Stok keluar harus -",IF(H645&lt;0,"Stok negatif","OK")))))</f>
        <v/>
      </c>
    </row>
    <row r="646" spans="1:11" x14ac:dyDescent="0.3">
      <c r="A646" s="9" t="str">
        <f t="shared" si="20"/>
        <v/>
      </c>
      <c r="B646" s="10"/>
      <c r="C646" s="5"/>
      <c r="D646" s="5"/>
      <c r="E646" s="11" t="str">
        <f>IF(D646="","",IFERROR(INDEX('Master Produk'!$B$2:$B$101,MATCH(D646,'Master Produk'!$A$2:$A$101,0)),"SKU tidak ada di master"))</f>
        <v/>
      </c>
      <c r="F646" s="6"/>
      <c r="G646" s="12" t="str">
        <f>IF(D646="","",IFERROR(INDEX('Master Produk'!$C$2:$C$101,MATCH(D646,'Master Produk'!$A$2:$A$101,0)),0)+SUMIFS(F$1:F645,D$1:D645,D646))</f>
        <v/>
      </c>
      <c r="H646" s="12" t="str">
        <f t="shared" si="21"/>
        <v/>
      </c>
      <c r="I646" s="5"/>
      <c r="J646" s="5"/>
      <c r="K646" s="11" t="str">
        <f>IF(D646="","",IF(ISNA(MATCH(D646,'Master Produk'!$A$2:$A$101,0)),"SKU tidak ada di master",IF(AND(C646="Stok masuk",F646&lt;0),"Stok masuk harus +",IF(AND(C646="Stok keluar",F646&gt;0),"Stok keluar harus -",IF(H646&lt;0,"Stok negatif","OK")))))</f>
        <v/>
      </c>
    </row>
    <row r="647" spans="1:11" x14ac:dyDescent="0.3">
      <c r="A647" s="9" t="str">
        <f t="shared" si="20"/>
        <v/>
      </c>
      <c r="B647" s="10"/>
      <c r="C647" s="5"/>
      <c r="D647" s="5"/>
      <c r="E647" s="11" t="str">
        <f>IF(D647="","",IFERROR(INDEX('Master Produk'!$B$2:$B$101,MATCH(D647,'Master Produk'!$A$2:$A$101,0)),"SKU tidak ada di master"))</f>
        <v/>
      </c>
      <c r="F647" s="6"/>
      <c r="G647" s="12" t="str">
        <f>IF(D647="","",IFERROR(INDEX('Master Produk'!$C$2:$C$101,MATCH(D647,'Master Produk'!$A$2:$A$101,0)),0)+SUMIFS(F$1:F646,D$1:D646,D647))</f>
        <v/>
      </c>
      <c r="H647" s="12" t="str">
        <f t="shared" si="21"/>
        <v/>
      </c>
      <c r="I647" s="5"/>
      <c r="J647" s="5"/>
      <c r="K647" s="11" t="str">
        <f>IF(D647="","",IF(ISNA(MATCH(D647,'Master Produk'!$A$2:$A$101,0)),"SKU tidak ada di master",IF(AND(C647="Stok masuk",F647&lt;0),"Stok masuk harus +",IF(AND(C647="Stok keluar",F647&gt;0),"Stok keluar harus -",IF(H647&lt;0,"Stok negatif","OK")))))</f>
        <v/>
      </c>
    </row>
    <row r="648" spans="1:11" x14ac:dyDescent="0.3">
      <c r="A648" s="9" t="str">
        <f t="shared" si="20"/>
        <v/>
      </c>
      <c r="B648" s="10"/>
      <c r="C648" s="5"/>
      <c r="D648" s="5"/>
      <c r="E648" s="11" t="str">
        <f>IF(D648="","",IFERROR(INDEX('Master Produk'!$B$2:$B$101,MATCH(D648,'Master Produk'!$A$2:$A$101,0)),"SKU tidak ada di master"))</f>
        <v/>
      </c>
      <c r="F648" s="6"/>
      <c r="G648" s="12" t="str">
        <f>IF(D648="","",IFERROR(INDEX('Master Produk'!$C$2:$C$101,MATCH(D648,'Master Produk'!$A$2:$A$101,0)),0)+SUMIFS(F$1:F647,D$1:D647,D648))</f>
        <v/>
      </c>
      <c r="H648" s="12" t="str">
        <f t="shared" si="21"/>
        <v/>
      </c>
      <c r="I648" s="5"/>
      <c r="J648" s="5"/>
      <c r="K648" s="11" t="str">
        <f>IF(D648="","",IF(ISNA(MATCH(D648,'Master Produk'!$A$2:$A$101,0)),"SKU tidak ada di master",IF(AND(C648="Stok masuk",F648&lt;0),"Stok masuk harus +",IF(AND(C648="Stok keluar",F648&gt;0),"Stok keluar harus -",IF(H648&lt;0,"Stok negatif","OK")))))</f>
        <v/>
      </c>
    </row>
    <row r="649" spans="1:11" x14ac:dyDescent="0.3">
      <c r="A649" s="9" t="str">
        <f t="shared" si="20"/>
        <v/>
      </c>
      <c r="B649" s="10"/>
      <c r="C649" s="5"/>
      <c r="D649" s="5"/>
      <c r="E649" s="11" t="str">
        <f>IF(D649="","",IFERROR(INDEX('Master Produk'!$B$2:$B$101,MATCH(D649,'Master Produk'!$A$2:$A$101,0)),"SKU tidak ada di master"))</f>
        <v/>
      </c>
      <c r="F649" s="6"/>
      <c r="G649" s="12" t="str">
        <f>IF(D649="","",IFERROR(INDEX('Master Produk'!$C$2:$C$101,MATCH(D649,'Master Produk'!$A$2:$A$101,0)),0)+SUMIFS(F$1:F648,D$1:D648,D649))</f>
        <v/>
      </c>
      <c r="H649" s="12" t="str">
        <f t="shared" si="21"/>
        <v/>
      </c>
      <c r="I649" s="5"/>
      <c r="J649" s="5"/>
      <c r="K649" s="11" t="str">
        <f>IF(D649="","",IF(ISNA(MATCH(D649,'Master Produk'!$A$2:$A$101,0)),"SKU tidak ada di master",IF(AND(C649="Stok masuk",F649&lt;0),"Stok masuk harus +",IF(AND(C649="Stok keluar",F649&gt;0),"Stok keluar harus -",IF(H649&lt;0,"Stok negatif","OK")))))</f>
        <v/>
      </c>
    </row>
    <row r="650" spans="1:11" x14ac:dyDescent="0.3">
      <c r="A650" s="9" t="str">
        <f t="shared" si="20"/>
        <v/>
      </c>
      <c r="B650" s="10"/>
      <c r="C650" s="5"/>
      <c r="D650" s="5"/>
      <c r="E650" s="11" t="str">
        <f>IF(D650="","",IFERROR(INDEX('Master Produk'!$B$2:$B$101,MATCH(D650,'Master Produk'!$A$2:$A$101,0)),"SKU tidak ada di master"))</f>
        <v/>
      </c>
      <c r="F650" s="6"/>
      <c r="G650" s="12" t="str">
        <f>IF(D650="","",IFERROR(INDEX('Master Produk'!$C$2:$C$101,MATCH(D650,'Master Produk'!$A$2:$A$101,0)),0)+SUMIFS(F$1:F649,D$1:D649,D650))</f>
        <v/>
      </c>
      <c r="H650" s="12" t="str">
        <f t="shared" si="21"/>
        <v/>
      </c>
      <c r="I650" s="5"/>
      <c r="J650" s="5"/>
      <c r="K650" s="11" t="str">
        <f>IF(D650="","",IF(ISNA(MATCH(D650,'Master Produk'!$A$2:$A$101,0)),"SKU tidak ada di master",IF(AND(C650="Stok masuk",F650&lt;0),"Stok masuk harus +",IF(AND(C650="Stok keluar",F650&gt;0),"Stok keluar harus -",IF(H650&lt;0,"Stok negatif","OK")))))</f>
        <v/>
      </c>
    </row>
    <row r="651" spans="1:11" x14ac:dyDescent="0.3">
      <c r="A651" s="9" t="str">
        <f t="shared" si="20"/>
        <v/>
      </c>
      <c r="B651" s="10"/>
      <c r="C651" s="5"/>
      <c r="D651" s="5"/>
      <c r="E651" s="11" t="str">
        <f>IF(D651="","",IFERROR(INDEX('Master Produk'!$B$2:$B$101,MATCH(D651,'Master Produk'!$A$2:$A$101,0)),"SKU tidak ada di master"))</f>
        <v/>
      </c>
      <c r="F651" s="6"/>
      <c r="G651" s="12" t="str">
        <f>IF(D651="","",IFERROR(INDEX('Master Produk'!$C$2:$C$101,MATCH(D651,'Master Produk'!$A$2:$A$101,0)),0)+SUMIFS(F$1:F650,D$1:D650,D651))</f>
        <v/>
      </c>
      <c r="H651" s="12" t="str">
        <f t="shared" si="21"/>
        <v/>
      </c>
      <c r="I651" s="5"/>
      <c r="J651" s="5"/>
      <c r="K651" s="11" t="str">
        <f>IF(D651="","",IF(ISNA(MATCH(D651,'Master Produk'!$A$2:$A$101,0)),"SKU tidak ada di master",IF(AND(C651="Stok masuk",F651&lt;0),"Stok masuk harus +",IF(AND(C651="Stok keluar",F651&gt;0),"Stok keluar harus -",IF(H651&lt;0,"Stok negatif","OK")))))</f>
        <v/>
      </c>
    </row>
    <row r="652" spans="1:11" x14ac:dyDescent="0.3">
      <c r="A652" s="9" t="str">
        <f t="shared" si="20"/>
        <v/>
      </c>
      <c r="B652" s="10"/>
      <c r="C652" s="5"/>
      <c r="D652" s="5"/>
      <c r="E652" s="11" t="str">
        <f>IF(D652="","",IFERROR(INDEX('Master Produk'!$B$2:$B$101,MATCH(D652,'Master Produk'!$A$2:$A$101,0)),"SKU tidak ada di master"))</f>
        <v/>
      </c>
      <c r="F652" s="6"/>
      <c r="G652" s="12" t="str">
        <f>IF(D652="","",IFERROR(INDEX('Master Produk'!$C$2:$C$101,MATCH(D652,'Master Produk'!$A$2:$A$101,0)),0)+SUMIFS(F$1:F651,D$1:D651,D652))</f>
        <v/>
      </c>
      <c r="H652" s="12" t="str">
        <f t="shared" si="21"/>
        <v/>
      </c>
      <c r="I652" s="5"/>
      <c r="J652" s="5"/>
      <c r="K652" s="11" t="str">
        <f>IF(D652="","",IF(ISNA(MATCH(D652,'Master Produk'!$A$2:$A$101,0)),"SKU tidak ada di master",IF(AND(C652="Stok masuk",F652&lt;0),"Stok masuk harus +",IF(AND(C652="Stok keluar",F652&gt;0),"Stok keluar harus -",IF(H652&lt;0,"Stok negatif","OK")))))</f>
        <v/>
      </c>
    </row>
    <row r="653" spans="1:11" x14ac:dyDescent="0.3">
      <c r="A653" s="9" t="str">
        <f t="shared" si="20"/>
        <v/>
      </c>
      <c r="B653" s="10"/>
      <c r="C653" s="5"/>
      <c r="D653" s="5"/>
      <c r="E653" s="11" t="str">
        <f>IF(D653="","",IFERROR(INDEX('Master Produk'!$B$2:$B$101,MATCH(D653,'Master Produk'!$A$2:$A$101,0)),"SKU tidak ada di master"))</f>
        <v/>
      </c>
      <c r="F653" s="6"/>
      <c r="G653" s="12" t="str">
        <f>IF(D653="","",IFERROR(INDEX('Master Produk'!$C$2:$C$101,MATCH(D653,'Master Produk'!$A$2:$A$101,0)),0)+SUMIFS(F$1:F652,D$1:D652,D653))</f>
        <v/>
      </c>
      <c r="H653" s="12" t="str">
        <f t="shared" si="21"/>
        <v/>
      </c>
      <c r="I653" s="5"/>
      <c r="J653" s="5"/>
      <c r="K653" s="11" t="str">
        <f>IF(D653="","",IF(ISNA(MATCH(D653,'Master Produk'!$A$2:$A$101,0)),"SKU tidak ada di master",IF(AND(C653="Stok masuk",F653&lt;0),"Stok masuk harus +",IF(AND(C653="Stok keluar",F653&gt;0),"Stok keluar harus -",IF(H653&lt;0,"Stok negatif","OK")))))</f>
        <v/>
      </c>
    </row>
    <row r="654" spans="1:11" x14ac:dyDescent="0.3">
      <c r="A654" s="9" t="str">
        <f t="shared" si="20"/>
        <v/>
      </c>
      <c r="B654" s="10"/>
      <c r="C654" s="5"/>
      <c r="D654" s="5"/>
      <c r="E654" s="11" t="str">
        <f>IF(D654="","",IFERROR(INDEX('Master Produk'!$B$2:$B$101,MATCH(D654,'Master Produk'!$A$2:$A$101,0)),"SKU tidak ada di master"))</f>
        <v/>
      </c>
      <c r="F654" s="6"/>
      <c r="G654" s="12" t="str">
        <f>IF(D654="","",IFERROR(INDEX('Master Produk'!$C$2:$C$101,MATCH(D654,'Master Produk'!$A$2:$A$101,0)),0)+SUMIFS(F$1:F653,D$1:D653,D654))</f>
        <v/>
      </c>
      <c r="H654" s="12" t="str">
        <f t="shared" si="21"/>
        <v/>
      </c>
      <c r="I654" s="5"/>
      <c r="J654" s="5"/>
      <c r="K654" s="11" t="str">
        <f>IF(D654="","",IF(ISNA(MATCH(D654,'Master Produk'!$A$2:$A$101,0)),"SKU tidak ada di master",IF(AND(C654="Stok masuk",F654&lt;0),"Stok masuk harus +",IF(AND(C654="Stok keluar",F654&gt;0),"Stok keluar harus -",IF(H654&lt;0,"Stok negatif","OK")))))</f>
        <v/>
      </c>
    </row>
    <row r="655" spans="1:11" x14ac:dyDescent="0.3">
      <c r="A655" s="9" t="str">
        <f t="shared" si="20"/>
        <v/>
      </c>
      <c r="B655" s="10"/>
      <c r="C655" s="5"/>
      <c r="D655" s="5"/>
      <c r="E655" s="11" t="str">
        <f>IF(D655="","",IFERROR(INDEX('Master Produk'!$B$2:$B$101,MATCH(D655,'Master Produk'!$A$2:$A$101,0)),"SKU tidak ada di master"))</f>
        <v/>
      </c>
      <c r="F655" s="6"/>
      <c r="G655" s="12" t="str">
        <f>IF(D655="","",IFERROR(INDEX('Master Produk'!$C$2:$C$101,MATCH(D655,'Master Produk'!$A$2:$A$101,0)),0)+SUMIFS(F$1:F654,D$1:D654,D655))</f>
        <v/>
      </c>
      <c r="H655" s="12" t="str">
        <f t="shared" si="21"/>
        <v/>
      </c>
      <c r="I655" s="5"/>
      <c r="J655" s="5"/>
      <c r="K655" s="11" t="str">
        <f>IF(D655="","",IF(ISNA(MATCH(D655,'Master Produk'!$A$2:$A$101,0)),"SKU tidak ada di master",IF(AND(C655="Stok masuk",F655&lt;0),"Stok masuk harus +",IF(AND(C655="Stok keluar",F655&gt;0),"Stok keluar harus -",IF(H655&lt;0,"Stok negatif","OK")))))</f>
        <v/>
      </c>
    </row>
    <row r="656" spans="1:11" x14ac:dyDescent="0.3">
      <c r="A656" s="9" t="str">
        <f t="shared" si="20"/>
        <v/>
      </c>
      <c r="B656" s="10"/>
      <c r="C656" s="5"/>
      <c r="D656" s="5"/>
      <c r="E656" s="11" t="str">
        <f>IF(D656="","",IFERROR(INDEX('Master Produk'!$B$2:$B$101,MATCH(D656,'Master Produk'!$A$2:$A$101,0)),"SKU tidak ada di master"))</f>
        <v/>
      </c>
      <c r="F656" s="6"/>
      <c r="G656" s="12" t="str">
        <f>IF(D656="","",IFERROR(INDEX('Master Produk'!$C$2:$C$101,MATCH(D656,'Master Produk'!$A$2:$A$101,0)),0)+SUMIFS(F$1:F655,D$1:D655,D656))</f>
        <v/>
      </c>
      <c r="H656" s="12" t="str">
        <f t="shared" si="21"/>
        <v/>
      </c>
      <c r="I656" s="5"/>
      <c r="J656" s="5"/>
      <c r="K656" s="11" t="str">
        <f>IF(D656="","",IF(ISNA(MATCH(D656,'Master Produk'!$A$2:$A$101,0)),"SKU tidak ada di master",IF(AND(C656="Stok masuk",F656&lt;0),"Stok masuk harus +",IF(AND(C656="Stok keluar",F656&gt;0),"Stok keluar harus -",IF(H656&lt;0,"Stok negatif","OK")))))</f>
        <v/>
      </c>
    </row>
    <row r="657" spans="1:11" x14ac:dyDescent="0.3">
      <c r="A657" s="9" t="str">
        <f t="shared" si="20"/>
        <v/>
      </c>
      <c r="B657" s="10"/>
      <c r="C657" s="5"/>
      <c r="D657" s="5"/>
      <c r="E657" s="11" t="str">
        <f>IF(D657="","",IFERROR(INDEX('Master Produk'!$B$2:$B$101,MATCH(D657,'Master Produk'!$A$2:$A$101,0)),"SKU tidak ada di master"))</f>
        <v/>
      </c>
      <c r="F657" s="6"/>
      <c r="G657" s="12" t="str">
        <f>IF(D657="","",IFERROR(INDEX('Master Produk'!$C$2:$C$101,MATCH(D657,'Master Produk'!$A$2:$A$101,0)),0)+SUMIFS(F$1:F656,D$1:D656,D657))</f>
        <v/>
      </c>
      <c r="H657" s="12" t="str">
        <f t="shared" si="21"/>
        <v/>
      </c>
      <c r="I657" s="5"/>
      <c r="J657" s="5"/>
      <c r="K657" s="11" t="str">
        <f>IF(D657="","",IF(ISNA(MATCH(D657,'Master Produk'!$A$2:$A$101,0)),"SKU tidak ada di master",IF(AND(C657="Stok masuk",F657&lt;0),"Stok masuk harus +",IF(AND(C657="Stok keluar",F657&gt;0),"Stok keluar harus -",IF(H657&lt;0,"Stok negatif","OK")))))</f>
        <v/>
      </c>
    </row>
    <row r="658" spans="1:11" x14ac:dyDescent="0.3">
      <c r="A658" s="9" t="str">
        <f t="shared" si="20"/>
        <v/>
      </c>
      <c r="B658" s="10"/>
      <c r="C658" s="5"/>
      <c r="D658" s="5"/>
      <c r="E658" s="11" t="str">
        <f>IF(D658="","",IFERROR(INDEX('Master Produk'!$B$2:$B$101,MATCH(D658,'Master Produk'!$A$2:$A$101,0)),"SKU tidak ada di master"))</f>
        <v/>
      </c>
      <c r="F658" s="6"/>
      <c r="G658" s="12" t="str">
        <f>IF(D658="","",IFERROR(INDEX('Master Produk'!$C$2:$C$101,MATCH(D658,'Master Produk'!$A$2:$A$101,0)),0)+SUMIFS(F$1:F657,D$1:D657,D658))</f>
        <v/>
      </c>
      <c r="H658" s="12" t="str">
        <f t="shared" si="21"/>
        <v/>
      </c>
      <c r="I658" s="5"/>
      <c r="J658" s="5"/>
      <c r="K658" s="11" t="str">
        <f>IF(D658="","",IF(ISNA(MATCH(D658,'Master Produk'!$A$2:$A$101,0)),"SKU tidak ada di master",IF(AND(C658="Stok masuk",F658&lt;0),"Stok masuk harus +",IF(AND(C658="Stok keluar",F658&gt;0),"Stok keluar harus -",IF(H658&lt;0,"Stok negatif","OK")))))</f>
        <v/>
      </c>
    </row>
    <row r="659" spans="1:11" x14ac:dyDescent="0.3">
      <c r="A659" s="9" t="str">
        <f t="shared" si="20"/>
        <v/>
      </c>
      <c r="B659" s="10"/>
      <c r="C659" s="5"/>
      <c r="D659" s="5"/>
      <c r="E659" s="11" t="str">
        <f>IF(D659="","",IFERROR(INDEX('Master Produk'!$B$2:$B$101,MATCH(D659,'Master Produk'!$A$2:$A$101,0)),"SKU tidak ada di master"))</f>
        <v/>
      </c>
      <c r="F659" s="6"/>
      <c r="G659" s="12" t="str">
        <f>IF(D659="","",IFERROR(INDEX('Master Produk'!$C$2:$C$101,MATCH(D659,'Master Produk'!$A$2:$A$101,0)),0)+SUMIFS(F$1:F658,D$1:D658,D659))</f>
        <v/>
      </c>
      <c r="H659" s="12" t="str">
        <f t="shared" si="21"/>
        <v/>
      </c>
      <c r="I659" s="5"/>
      <c r="J659" s="5"/>
      <c r="K659" s="11" t="str">
        <f>IF(D659="","",IF(ISNA(MATCH(D659,'Master Produk'!$A$2:$A$101,0)),"SKU tidak ada di master",IF(AND(C659="Stok masuk",F659&lt;0),"Stok masuk harus +",IF(AND(C659="Stok keluar",F659&gt;0),"Stok keluar harus -",IF(H659&lt;0,"Stok negatif","OK")))))</f>
        <v/>
      </c>
    </row>
    <row r="660" spans="1:11" x14ac:dyDescent="0.3">
      <c r="A660" s="9" t="str">
        <f t="shared" si="20"/>
        <v/>
      </c>
      <c r="B660" s="10"/>
      <c r="C660" s="5"/>
      <c r="D660" s="5"/>
      <c r="E660" s="11" t="str">
        <f>IF(D660="","",IFERROR(INDEX('Master Produk'!$B$2:$B$101,MATCH(D660,'Master Produk'!$A$2:$A$101,0)),"SKU tidak ada di master"))</f>
        <v/>
      </c>
      <c r="F660" s="6"/>
      <c r="G660" s="12" t="str">
        <f>IF(D660="","",IFERROR(INDEX('Master Produk'!$C$2:$C$101,MATCH(D660,'Master Produk'!$A$2:$A$101,0)),0)+SUMIFS(F$1:F659,D$1:D659,D660))</f>
        <v/>
      </c>
      <c r="H660" s="12" t="str">
        <f t="shared" si="21"/>
        <v/>
      </c>
      <c r="I660" s="5"/>
      <c r="J660" s="5"/>
      <c r="K660" s="11" t="str">
        <f>IF(D660="","",IF(ISNA(MATCH(D660,'Master Produk'!$A$2:$A$101,0)),"SKU tidak ada di master",IF(AND(C660="Stok masuk",F660&lt;0),"Stok masuk harus +",IF(AND(C660="Stok keluar",F660&gt;0),"Stok keluar harus -",IF(H660&lt;0,"Stok negatif","OK")))))</f>
        <v/>
      </c>
    </row>
    <row r="661" spans="1:11" x14ac:dyDescent="0.3">
      <c r="A661" s="9" t="str">
        <f t="shared" si="20"/>
        <v/>
      </c>
      <c r="B661" s="10"/>
      <c r="C661" s="5"/>
      <c r="D661" s="5"/>
      <c r="E661" s="11" t="str">
        <f>IF(D661="","",IFERROR(INDEX('Master Produk'!$B$2:$B$101,MATCH(D661,'Master Produk'!$A$2:$A$101,0)),"SKU tidak ada di master"))</f>
        <v/>
      </c>
      <c r="F661" s="6"/>
      <c r="G661" s="12" t="str">
        <f>IF(D661="","",IFERROR(INDEX('Master Produk'!$C$2:$C$101,MATCH(D661,'Master Produk'!$A$2:$A$101,0)),0)+SUMIFS(F$1:F660,D$1:D660,D661))</f>
        <v/>
      </c>
      <c r="H661" s="12" t="str">
        <f t="shared" si="21"/>
        <v/>
      </c>
      <c r="I661" s="5"/>
      <c r="J661" s="5"/>
      <c r="K661" s="11" t="str">
        <f>IF(D661="","",IF(ISNA(MATCH(D661,'Master Produk'!$A$2:$A$101,0)),"SKU tidak ada di master",IF(AND(C661="Stok masuk",F661&lt;0),"Stok masuk harus +",IF(AND(C661="Stok keluar",F661&gt;0),"Stok keluar harus -",IF(H661&lt;0,"Stok negatif","OK")))))</f>
        <v/>
      </c>
    </row>
    <row r="662" spans="1:11" x14ac:dyDescent="0.3">
      <c r="A662" s="9" t="str">
        <f t="shared" si="20"/>
        <v/>
      </c>
      <c r="B662" s="10"/>
      <c r="C662" s="5"/>
      <c r="D662" s="5"/>
      <c r="E662" s="11" t="str">
        <f>IF(D662="","",IFERROR(INDEX('Master Produk'!$B$2:$B$101,MATCH(D662,'Master Produk'!$A$2:$A$101,0)),"SKU tidak ada di master"))</f>
        <v/>
      </c>
      <c r="F662" s="6"/>
      <c r="G662" s="12" t="str">
        <f>IF(D662="","",IFERROR(INDEX('Master Produk'!$C$2:$C$101,MATCH(D662,'Master Produk'!$A$2:$A$101,0)),0)+SUMIFS(F$1:F661,D$1:D661,D662))</f>
        <v/>
      </c>
      <c r="H662" s="12" t="str">
        <f t="shared" si="21"/>
        <v/>
      </c>
      <c r="I662" s="5"/>
      <c r="J662" s="5"/>
      <c r="K662" s="11" t="str">
        <f>IF(D662="","",IF(ISNA(MATCH(D662,'Master Produk'!$A$2:$A$101,0)),"SKU tidak ada di master",IF(AND(C662="Stok masuk",F662&lt;0),"Stok masuk harus +",IF(AND(C662="Stok keluar",F662&gt;0),"Stok keluar harus -",IF(H662&lt;0,"Stok negatif","OK")))))</f>
        <v/>
      </c>
    </row>
    <row r="663" spans="1:11" x14ac:dyDescent="0.3">
      <c r="A663" s="9" t="str">
        <f t="shared" si="20"/>
        <v/>
      </c>
      <c r="B663" s="10"/>
      <c r="C663" s="5"/>
      <c r="D663" s="5"/>
      <c r="E663" s="11" t="str">
        <f>IF(D663="","",IFERROR(INDEX('Master Produk'!$B$2:$B$101,MATCH(D663,'Master Produk'!$A$2:$A$101,0)),"SKU tidak ada di master"))</f>
        <v/>
      </c>
      <c r="F663" s="6"/>
      <c r="G663" s="12" t="str">
        <f>IF(D663="","",IFERROR(INDEX('Master Produk'!$C$2:$C$101,MATCH(D663,'Master Produk'!$A$2:$A$101,0)),0)+SUMIFS(F$1:F662,D$1:D662,D663))</f>
        <v/>
      </c>
      <c r="H663" s="12" t="str">
        <f t="shared" si="21"/>
        <v/>
      </c>
      <c r="I663" s="5"/>
      <c r="J663" s="5"/>
      <c r="K663" s="11" t="str">
        <f>IF(D663="","",IF(ISNA(MATCH(D663,'Master Produk'!$A$2:$A$101,0)),"SKU tidak ada di master",IF(AND(C663="Stok masuk",F663&lt;0),"Stok masuk harus +",IF(AND(C663="Stok keluar",F663&gt;0),"Stok keluar harus -",IF(H663&lt;0,"Stok negatif","OK")))))</f>
        <v/>
      </c>
    </row>
    <row r="664" spans="1:11" x14ac:dyDescent="0.3">
      <c r="A664" s="9" t="str">
        <f t="shared" si="20"/>
        <v/>
      </c>
      <c r="B664" s="10"/>
      <c r="C664" s="5"/>
      <c r="D664" s="5"/>
      <c r="E664" s="11" t="str">
        <f>IF(D664="","",IFERROR(INDEX('Master Produk'!$B$2:$B$101,MATCH(D664,'Master Produk'!$A$2:$A$101,0)),"SKU tidak ada di master"))</f>
        <v/>
      </c>
      <c r="F664" s="6"/>
      <c r="G664" s="12" t="str">
        <f>IF(D664="","",IFERROR(INDEX('Master Produk'!$C$2:$C$101,MATCH(D664,'Master Produk'!$A$2:$A$101,0)),0)+SUMIFS(F$1:F663,D$1:D663,D664))</f>
        <v/>
      </c>
      <c r="H664" s="12" t="str">
        <f t="shared" si="21"/>
        <v/>
      </c>
      <c r="I664" s="5"/>
      <c r="J664" s="5"/>
      <c r="K664" s="11" t="str">
        <f>IF(D664="","",IF(ISNA(MATCH(D664,'Master Produk'!$A$2:$A$101,0)),"SKU tidak ada di master",IF(AND(C664="Stok masuk",F664&lt;0),"Stok masuk harus +",IF(AND(C664="Stok keluar",F664&gt;0),"Stok keluar harus -",IF(H664&lt;0,"Stok negatif","OK")))))</f>
        <v/>
      </c>
    </row>
    <row r="665" spans="1:11" x14ac:dyDescent="0.3">
      <c r="A665" s="9" t="str">
        <f t="shared" si="20"/>
        <v/>
      </c>
      <c r="B665" s="10"/>
      <c r="C665" s="5"/>
      <c r="D665" s="5"/>
      <c r="E665" s="11" t="str">
        <f>IF(D665="","",IFERROR(INDEX('Master Produk'!$B$2:$B$101,MATCH(D665,'Master Produk'!$A$2:$A$101,0)),"SKU tidak ada di master"))</f>
        <v/>
      </c>
      <c r="F665" s="6"/>
      <c r="G665" s="12" t="str">
        <f>IF(D665="","",IFERROR(INDEX('Master Produk'!$C$2:$C$101,MATCH(D665,'Master Produk'!$A$2:$A$101,0)),0)+SUMIFS(F$1:F664,D$1:D664,D665))</f>
        <v/>
      </c>
      <c r="H665" s="12" t="str">
        <f t="shared" si="21"/>
        <v/>
      </c>
      <c r="I665" s="5"/>
      <c r="J665" s="5"/>
      <c r="K665" s="11" t="str">
        <f>IF(D665="","",IF(ISNA(MATCH(D665,'Master Produk'!$A$2:$A$101,0)),"SKU tidak ada di master",IF(AND(C665="Stok masuk",F665&lt;0),"Stok masuk harus +",IF(AND(C665="Stok keluar",F665&gt;0),"Stok keluar harus -",IF(H665&lt;0,"Stok negatif","OK")))))</f>
        <v/>
      </c>
    </row>
    <row r="666" spans="1:11" x14ac:dyDescent="0.3">
      <c r="A666" s="9" t="str">
        <f t="shared" si="20"/>
        <v/>
      </c>
      <c r="B666" s="10"/>
      <c r="C666" s="5"/>
      <c r="D666" s="5"/>
      <c r="E666" s="11" t="str">
        <f>IF(D666="","",IFERROR(INDEX('Master Produk'!$B$2:$B$101,MATCH(D666,'Master Produk'!$A$2:$A$101,0)),"SKU tidak ada di master"))</f>
        <v/>
      </c>
      <c r="F666" s="6"/>
      <c r="G666" s="12" t="str">
        <f>IF(D666="","",IFERROR(INDEX('Master Produk'!$C$2:$C$101,MATCH(D666,'Master Produk'!$A$2:$A$101,0)),0)+SUMIFS(F$1:F665,D$1:D665,D666))</f>
        <v/>
      </c>
      <c r="H666" s="12" t="str">
        <f t="shared" si="21"/>
        <v/>
      </c>
      <c r="I666" s="5"/>
      <c r="J666" s="5"/>
      <c r="K666" s="11" t="str">
        <f>IF(D666="","",IF(ISNA(MATCH(D666,'Master Produk'!$A$2:$A$101,0)),"SKU tidak ada di master",IF(AND(C666="Stok masuk",F666&lt;0),"Stok masuk harus +",IF(AND(C666="Stok keluar",F666&gt;0),"Stok keluar harus -",IF(H666&lt;0,"Stok negatif","OK")))))</f>
        <v/>
      </c>
    </row>
    <row r="667" spans="1:11" x14ac:dyDescent="0.3">
      <c r="A667" s="9" t="str">
        <f t="shared" si="20"/>
        <v/>
      </c>
      <c r="B667" s="10"/>
      <c r="C667" s="5"/>
      <c r="D667" s="5"/>
      <c r="E667" s="11" t="str">
        <f>IF(D667="","",IFERROR(INDEX('Master Produk'!$B$2:$B$101,MATCH(D667,'Master Produk'!$A$2:$A$101,0)),"SKU tidak ada di master"))</f>
        <v/>
      </c>
      <c r="F667" s="6"/>
      <c r="G667" s="12" t="str">
        <f>IF(D667="","",IFERROR(INDEX('Master Produk'!$C$2:$C$101,MATCH(D667,'Master Produk'!$A$2:$A$101,0)),0)+SUMIFS(F$1:F666,D$1:D666,D667))</f>
        <v/>
      </c>
      <c r="H667" s="12" t="str">
        <f t="shared" si="21"/>
        <v/>
      </c>
      <c r="I667" s="5"/>
      <c r="J667" s="5"/>
      <c r="K667" s="11" t="str">
        <f>IF(D667="","",IF(ISNA(MATCH(D667,'Master Produk'!$A$2:$A$101,0)),"SKU tidak ada di master",IF(AND(C667="Stok masuk",F667&lt;0),"Stok masuk harus +",IF(AND(C667="Stok keluar",F667&gt;0),"Stok keluar harus -",IF(H667&lt;0,"Stok negatif","OK")))))</f>
        <v/>
      </c>
    </row>
    <row r="668" spans="1:11" x14ac:dyDescent="0.3">
      <c r="A668" s="9" t="str">
        <f t="shared" si="20"/>
        <v/>
      </c>
      <c r="B668" s="10"/>
      <c r="C668" s="5"/>
      <c r="D668" s="5"/>
      <c r="E668" s="11" t="str">
        <f>IF(D668="","",IFERROR(INDEX('Master Produk'!$B$2:$B$101,MATCH(D668,'Master Produk'!$A$2:$A$101,0)),"SKU tidak ada di master"))</f>
        <v/>
      </c>
      <c r="F668" s="6"/>
      <c r="G668" s="12" t="str">
        <f>IF(D668="","",IFERROR(INDEX('Master Produk'!$C$2:$C$101,MATCH(D668,'Master Produk'!$A$2:$A$101,0)),0)+SUMIFS(F$1:F667,D$1:D667,D668))</f>
        <v/>
      </c>
      <c r="H668" s="12" t="str">
        <f t="shared" si="21"/>
        <v/>
      </c>
      <c r="I668" s="5"/>
      <c r="J668" s="5"/>
      <c r="K668" s="11" t="str">
        <f>IF(D668="","",IF(ISNA(MATCH(D668,'Master Produk'!$A$2:$A$101,0)),"SKU tidak ada di master",IF(AND(C668="Stok masuk",F668&lt;0),"Stok masuk harus +",IF(AND(C668="Stok keluar",F668&gt;0),"Stok keluar harus -",IF(H668&lt;0,"Stok negatif","OK")))))</f>
        <v/>
      </c>
    </row>
    <row r="669" spans="1:11" x14ac:dyDescent="0.3">
      <c r="A669" s="9" t="str">
        <f t="shared" si="20"/>
        <v/>
      </c>
      <c r="B669" s="10"/>
      <c r="C669" s="5"/>
      <c r="D669" s="5"/>
      <c r="E669" s="11" t="str">
        <f>IF(D669="","",IFERROR(INDEX('Master Produk'!$B$2:$B$101,MATCH(D669,'Master Produk'!$A$2:$A$101,0)),"SKU tidak ada di master"))</f>
        <v/>
      </c>
      <c r="F669" s="6"/>
      <c r="G669" s="12" t="str">
        <f>IF(D669="","",IFERROR(INDEX('Master Produk'!$C$2:$C$101,MATCH(D669,'Master Produk'!$A$2:$A$101,0)),0)+SUMIFS(F$1:F668,D$1:D668,D669))</f>
        <v/>
      </c>
      <c r="H669" s="12" t="str">
        <f t="shared" si="21"/>
        <v/>
      </c>
      <c r="I669" s="5"/>
      <c r="J669" s="5"/>
      <c r="K669" s="11" t="str">
        <f>IF(D669="","",IF(ISNA(MATCH(D669,'Master Produk'!$A$2:$A$101,0)),"SKU tidak ada di master",IF(AND(C669="Stok masuk",F669&lt;0),"Stok masuk harus +",IF(AND(C669="Stok keluar",F669&gt;0),"Stok keluar harus -",IF(H669&lt;0,"Stok negatif","OK")))))</f>
        <v/>
      </c>
    </row>
    <row r="670" spans="1:11" x14ac:dyDescent="0.3">
      <c r="A670" s="9" t="str">
        <f t="shared" si="20"/>
        <v/>
      </c>
      <c r="B670" s="10"/>
      <c r="C670" s="5"/>
      <c r="D670" s="5"/>
      <c r="E670" s="11" t="str">
        <f>IF(D670="","",IFERROR(INDEX('Master Produk'!$B$2:$B$101,MATCH(D670,'Master Produk'!$A$2:$A$101,0)),"SKU tidak ada di master"))</f>
        <v/>
      </c>
      <c r="F670" s="6"/>
      <c r="G670" s="12" t="str">
        <f>IF(D670="","",IFERROR(INDEX('Master Produk'!$C$2:$C$101,MATCH(D670,'Master Produk'!$A$2:$A$101,0)),0)+SUMIFS(F$1:F669,D$1:D669,D670))</f>
        <v/>
      </c>
      <c r="H670" s="12" t="str">
        <f t="shared" si="21"/>
        <v/>
      </c>
      <c r="I670" s="5"/>
      <c r="J670" s="5"/>
      <c r="K670" s="11" t="str">
        <f>IF(D670="","",IF(ISNA(MATCH(D670,'Master Produk'!$A$2:$A$101,0)),"SKU tidak ada di master",IF(AND(C670="Stok masuk",F670&lt;0),"Stok masuk harus +",IF(AND(C670="Stok keluar",F670&gt;0),"Stok keluar harus -",IF(H670&lt;0,"Stok negatif","OK")))))</f>
        <v/>
      </c>
    </row>
    <row r="671" spans="1:11" x14ac:dyDescent="0.3">
      <c r="A671" s="9" t="str">
        <f t="shared" si="20"/>
        <v/>
      </c>
      <c r="B671" s="10"/>
      <c r="C671" s="5"/>
      <c r="D671" s="5"/>
      <c r="E671" s="11" t="str">
        <f>IF(D671="","",IFERROR(INDEX('Master Produk'!$B$2:$B$101,MATCH(D671,'Master Produk'!$A$2:$A$101,0)),"SKU tidak ada di master"))</f>
        <v/>
      </c>
      <c r="F671" s="6"/>
      <c r="G671" s="12" t="str">
        <f>IF(D671="","",IFERROR(INDEX('Master Produk'!$C$2:$C$101,MATCH(D671,'Master Produk'!$A$2:$A$101,0)),0)+SUMIFS(F$1:F670,D$1:D670,D671))</f>
        <v/>
      </c>
      <c r="H671" s="12" t="str">
        <f t="shared" si="21"/>
        <v/>
      </c>
      <c r="I671" s="5"/>
      <c r="J671" s="5"/>
      <c r="K671" s="11" t="str">
        <f>IF(D671="","",IF(ISNA(MATCH(D671,'Master Produk'!$A$2:$A$101,0)),"SKU tidak ada di master",IF(AND(C671="Stok masuk",F671&lt;0),"Stok masuk harus +",IF(AND(C671="Stok keluar",F671&gt;0),"Stok keluar harus -",IF(H671&lt;0,"Stok negatif","OK")))))</f>
        <v/>
      </c>
    </row>
    <row r="672" spans="1:11" x14ac:dyDescent="0.3">
      <c r="A672" s="9" t="str">
        <f t="shared" si="20"/>
        <v/>
      </c>
      <c r="B672" s="10"/>
      <c r="C672" s="5"/>
      <c r="D672" s="5"/>
      <c r="E672" s="11" t="str">
        <f>IF(D672="","",IFERROR(INDEX('Master Produk'!$B$2:$B$101,MATCH(D672,'Master Produk'!$A$2:$A$101,0)),"SKU tidak ada di master"))</f>
        <v/>
      </c>
      <c r="F672" s="6"/>
      <c r="G672" s="12" t="str">
        <f>IF(D672="","",IFERROR(INDEX('Master Produk'!$C$2:$C$101,MATCH(D672,'Master Produk'!$A$2:$A$101,0)),0)+SUMIFS(F$1:F671,D$1:D671,D672))</f>
        <v/>
      </c>
      <c r="H672" s="12" t="str">
        <f t="shared" si="21"/>
        <v/>
      </c>
      <c r="I672" s="5"/>
      <c r="J672" s="5"/>
      <c r="K672" s="11" t="str">
        <f>IF(D672="","",IF(ISNA(MATCH(D672,'Master Produk'!$A$2:$A$101,0)),"SKU tidak ada di master",IF(AND(C672="Stok masuk",F672&lt;0),"Stok masuk harus +",IF(AND(C672="Stok keluar",F672&gt;0),"Stok keluar harus -",IF(H672&lt;0,"Stok negatif","OK")))))</f>
        <v/>
      </c>
    </row>
    <row r="673" spans="1:11" x14ac:dyDescent="0.3">
      <c r="A673" s="9" t="str">
        <f t="shared" si="20"/>
        <v/>
      </c>
      <c r="B673" s="10"/>
      <c r="C673" s="5"/>
      <c r="D673" s="5"/>
      <c r="E673" s="11" t="str">
        <f>IF(D673="","",IFERROR(INDEX('Master Produk'!$B$2:$B$101,MATCH(D673,'Master Produk'!$A$2:$A$101,0)),"SKU tidak ada di master"))</f>
        <v/>
      </c>
      <c r="F673" s="6"/>
      <c r="G673" s="12" t="str">
        <f>IF(D673="","",IFERROR(INDEX('Master Produk'!$C$2:$C$101,MATCH(D673,'Master Produk'!$A$2:$A$101,0)),0)+SUMIFS(F$1:F672,D$1:D672,D673))</f>
        <v/>
      </c>
      <c r="H673" s="12" t="str">
        <f t="shared" si="21"/>
        <v/>
      </c>
      <c r="I673" s="5"/>
      <c r="J673" s="5"/>
      <c r="K673" s="11" t="str">
        <f>IF(D673="","",IF(ISNA(MATCH(D673,'Master Produk'!$A$2:$A$101,0)),"SKU tidak ada di master",IF(AND(C673="Stok masuk",F673&lt;0),"Stok masuk harus +",IF(AND(C673="Stok keluar",F673&gt;0),"Stok keluar harus -",IF(H673&lt;0,"Stok negatif","OK")))))</f>
        <v/>
      </c>
    </row>
    <row r="674" spans="1:11" x14ac:dyDescent="0.3">
      <c r="A674" s="9" t="str">
        <f t="shared" si="20"/>
        <v/>
      </c>
      <c r="B674" s="10"/>
      <c r="C674" s="5"/>
      <c r="D674" s="5"/>
      <c r="E674" s="11" t="str">
        <f>IF(D674="","",IFERROR(INDEX('Master Produk'!$B$2:$B$101,MATCH(D674,'Master Produk'!$A$2:$A$101,0)),"SKU tidak ada di master"))</f>
        <v/>
      </c>
      <c r="F674" s="6"/>
      <c r="G674" s="12" t="str">
        <f>IF(D674="","",IFERROR(INDEX('Master Produk'!$C$2:$C$101,MATCH(D674,'Master Produk'!$A$2:$A$101,0)),0)+SUMIFS(F$1:F673,D$1:D673,D674))</f>
        <v/>
      </c>
      <c r="H674" s="12" t="str">
        <f t="shared" si="21"/>
        <v/>
      </c>
      <c r="I674" s="5"/>
      <c r="J674" s="5"/>
      <c r="K674" s="11" t="str">
        <f>IF(D674="","",IF(ISNA(MATCH(D674,'Master Produk'!$A$2:$A$101,0)),"SKU tidak ada di master",IF(AND(C674="Stok masuk",F674&lt;0),"Stok masuk harus +",IF(AND(C674="Stok keluar",F674&gt;0),"Stok keluar harus -",IF(H674&lt;0,"Stok negatif","OK")))))</f>
        <v/>
      </c>
    </row>
    <row r="675" spans="1:11" x14ac:dyDescent="0.3">
      <c r="A675" s="9" t="str">
        <f t="shared" si="20"/>
        <v/>
      </c>
      <c r="B675" s="10"/>
      <c r="C675" s="5"/>
      <c r="D675" s="5"/>
      <c r="E675" s="11" t="str">
        <f>IF(D675="","",IFERROR(INDEX('Master Produk'!$B$2:$B$101,MATCH(D675,'Master Produk'!$A$2:$A$101,0)),"SKU tidak ada di master"))</f>
        <v/>
      </c>
      <c r="F675" s="6"/>
      <c r="G675" s="12" t="str">
        <f>IF(D675="","",IFERROR(INDEX('Master Produk'!$C$2:$C$101,MATCH(D675,'Master Produk'!$A$2:$A$101,0)),0)+SUMIFS(F$1:F674,D$1:D674,D675))</f>
        <v/>
      </c>
      <c r="H675" s="12" t="str">
        <f t="shared" si="21"/>
        <v/>
      </c>
      <c r="I675" s="5"/>
      <c r="J675" s="5"/>
      <c r="K675" s="11" t="str">
        <f>IF(D675="","",IF(ISNA(MATCH(D675,'Master Produk'!$A$2:$A$101,0)),"SKU tidak ada di master",IF(AND(C675="Stok masuk",F675&lt;0),"Stok masuk harus +",IF(AND(C675="Stok keluar",F675&gt;0),"Stok keluar harus -",IF(H675&lt;0,"Stok negatif","OK")))))</f>
        <v/>
      </c>
    </row>
    <row r="676" spans="1:11" x14ac:dyDescent="0.3">
      <c r="A676" s="9" t="str">
        <f t="shared" si="20"/>
        <v/>
      </c>
      <c r="B676" s="10"/>
      <c r="C676" s="5"/>
      <c r="D676" s="5"/>
      <c r="E676" s="11" t="str">
        <f>IF(D676="","",IFERROR(INDEX('Master Produk'!$B$2:$B$101,MATCH(D676,'Master Produk'!$A$2:$A$101,0)),"SKU tidak ada di master"))</f>
        <v/>
      </c>
      <c r="F676" s="6"/>
      <c r="G676" s="12" t="str">
        <f>IF(D676="","",IFERROR(INDEX('Master Produk'!$C$2:$C$101,MATCH(D676,'Master Produk'!$A$2:$A$101,0)),0)+SUMIFS(F$1:F675,D$1:D675,D676))</f>
        <v/>
      </c>
      <c r="H676" s="12" t="str">
        <f t="shared" si="21"/>
        <v/>
      </c>
      <c r="I676" s="5"/>
      <c r="J676" s="5"/>
      <c r="K676" s="11" t="str">
        <f>IF(D676="","",IF(ISNA(MATCH(D676,'Master Produk'!$A$2:$A$101,0)),"SKU tidak ada di master",IF(AND(C676="Stok masuk",F676&lt;0),"Stok masuk harus +",IF(AND(C676="Stok keluar",F676&gt;0),"Stok keluar harus -",IF(H676&lt;0,"Stok negatif","OK")))))</f>
        <v/>
      </c>
    </row>
    <row r="677" spans="1:11" x14ac:dyDescent="0.3">
      <c r="A677" s="9" t="str">
        <f t="shared" si="20"/>
        <v/>
      </c>
      <c r="B677" s="10"/>
      <c r="C677" s="5"/>
      <c r="D677" s="5"/>
      <c r="E677" s="11" t="str">
        <f>IF(D677="","",IFERROR(INDEX('Master Produk'!$B$2:$B$101,MATCH(D677,'Master Produk'!$A$2:$A$101,0)),"SKU tidak ada di master"))</f>
        <v/>
      </c>
      <c r="F677" s="6"/>
      <c r="G677" s="12" t="str">
        <f>IF(D677="","",IFERROR(INDEX('Master Produk'!$C$2:$C$101,MATCH(D677,'Master Produk'!$A$2:$A$101,0)),0)+SUMIFS(F$1:F676,D$1:D676,D677))</f>
        <v/>
      </c>
      <c r="H677" s="12" t="str">
        <f t="shared" si="21"/>
        <v/>
      </c>
      <c r="I677" s="5"/>
      <c r="J677" s="5"/>
      <c r="K677" s="11" t="str">
        <f>IF(D677="","",IF(ISNA(MATCH(D677,'Master Produk'!$A$2:$A$101,0)),"SKU tidak ada di master",IF(AND(C677="Stok masuk",F677&lt;0),"Stok masuk harus +",IF(AND(C677="Stok keluar",F677&gt;0),"Stok keluar harus -",IF(H677&lt;0,"Stok negatif","OK")))))</f>
        <v/>
      </c>
    </row>
    <row r="678" spans="1:11" x14ac:dyDescent="0.3">
      <c r="A678" s="9" t="str">
        <f t="shared" si="20"/>
        <v/>
      </c>
      <c r="B678" s="10"/>
      <c r="C678" s="5"/>
      <c r="D678" s="5"/>
      <c r="E678" s="11" t="str">
        <f>IF(D678="","",IFERROR(INDEX('Master Produk'!$B$2:$B$101,MATCH(D678,'Master Produk'!$A$2:$A$101,0)),"SKU tidak ada di master"))</f>
        <v/>
      </c>
      <c r="F678" s="6"/>
      <c r="G678" s="12" t="str">
        <f>IF(D678="","",IFERROR(INDEX('Master Produk'!$C$2:$C$101,MATCH(D678,'Master Produk'!$A$2:$A$101,0)),0)+SUMIFS(F$1:F677,D$1:D677,D678))</f>
        <v/>
      </c>
      <c r="H678" s="12" t="str">
        <f t="shared" si="21"/>
        <v/>
      </c>
      <c r="I678" s="5"/>
      <c r="J678" s="5"/>
      <c r="K678" s="11" t="str">
        <f>IF(D678="","",IF(ISNA(MATCH(D678,'Master Produk'!$A$2:$A$101,0)),"SKU tidak ada di master",IF(AND(C678="Stok masuk",F678&lt;0),"Stok masuk harus +",IF(AND(C678="Stok keluar",F678&gt;0),"Stok keluar harus -",IF(H678&lt;0,"Stok negatif","OK")))))</f>
        <v/>
      </c>
    </row>
    <row r="679" spans="1:11" x14ac:dyDescent="0.3">
      <c r="A679" s="9" t="str">
        <f t="shared" si="20"/>
        <v/>
      </c>
      <c r="B679" s="10"/>
      <c r="C679" s="5"/>
      <c r="D679" s="5"/>
      <c r="E679" s="11" t="str">
        <f>IF(D679="","",IFERROR(INDEX('Master Produk'!$B$2:$B$101,MATCH(D679,'Master Produk'!$A$2:$A$101,0)),"SKU tidak ada di master"))</f>
        <v/>
      </c>
      <c r="F679" s="6"/>
      <c r="G679" s="12" t="str">
        <f>IF(D679="","",IFERROR(INDEX('Master Produk'!$C$2:$C$101,MATCH(D679,'Master Produk'!$A$2:$A$101,0)),0)+SUMIFS(F$1:F678,D$1:D678,D679))</f>
        <v/>
      </c>
      <c r="H679" s="12" t="str">
        <f t="shared" si="21"/>
        <v/>
      </c>
      <c r="I679" s="5"/>
      <c r="J679" s="5"/>
      <c r="K679" s="11" t="str">
        <f>IF(D679="","",IF(ISNA(MATCH(D679,'Master Produk'!$A$2:$A$101,0)),"SKU tidak ada di master",IF(AND(C679="Stok masuk",F679&lt;0),"Stok masuk harus +",IF(AND(C679="Stok keluar",F679&gt;0),"Stok keluar harus -",IF(H679&lt;0,"Stok negatif","OK")))))</f>
        <v/>
      </c>
    </row>
    <row r="680" spans="1:11" x14ac:dyDescent="0.3">
      <c r="A680" s="9" t="str">
        <f t="shared" si="20"/>
        <v/>
      </c>
      <c r="B680" s="10"/>
      <c r="C680" s="5"/>
      <c r="D680" s="5"/>
      <c r="E680" s="11" t="str">
        <f>IF(D680="","",IFERROR(INDEX('Master Produk'!$B$2:$B$101,MATCH(D680,'Master Produk'!$A$2:$A$101,0)),"SKU tidak ada di master"))</f>
        <v/>
      </c>
      <c r="F680" s="6"/>
      <c r="G680" s="12" t="str">
        <f>IF(D680="","",IFERROR(INDEX('Master Produk'!$C$2:$C$101,MATCH(D680,'Master Produk'!$A$2:$A$101,0)),0)+SUMIFS(F$1:F679,D$1:D679,D680))</f>
        <v/>
      </c>
      <c r="H680" s="12" t="str">
        <f t="shared" si="21"/>
        <v/>
      </c>
      <c r="I680" s="5"/>
      <c r="J680" s="5"/>
      <c r="K680" s="11" t="str">
        <f>IF(D680="","",IF(ISNA(MATCH(D680,'Master Produk'!$A$2:$A$101,0)),"SKU tidak ada di master",IF(AND(C680="Stok masuk",F680&lt;0),"Stok masuk harus +",IF(AND(C680="Stok keluar",F680&gt;0),"Stok keluar harus -",IF(H680&lt;0,"Stok negatif","OK")))))</f>
        <v/>
      </c>
    </row>
    <row r="681" spans="1:11" x14ac:dyDescent="0.3">
      <c r="A681" s="9" t="str">
        <f t="shared" si="20"/>
        <v/>
      </c>
      <c r="B681" s="10"/>
      <c r="C681" s="5"/>
      <c r="D681" s="5"/>
      <c r="E681" s="11" t="str">
        <f>IF(D681="","",IFERROR(INDEX('Master Produk'!$B$2:$B$101,MATCH(D681,'Master Produk'!$A$2:$A$101,0)),"SKU tidak ada di master"))</f>
        <v/>
      </c>
      <c r="F681" s="6"/>
      <c r="G681" s="12" t="str">
        <f>IF(D681="","",IFERROR(INDEX('Master Produk'!$C$2:$C$101,MATCH(D681,'Master Produk'!$A$2:$A$101,0)),0)+SUMIFS(F$1:F680,D$1:D680,D681))</f>
        <v/>
      </c>
      <c r="H681" s="12" t="str">
        <f t="shared" si="21"/>
        <v/>
      </c>
      <c r="I681" s="5"/>
      <c r="J681" s="5"/>
      <c r="K681" s="11" t="str">
        <f>IF(D681="","",IF(ISNA(MATCH(D681,'Master Produk'!$A$2:$A$101,0)),"SKU tidak ada di master",IF(AND(C681="Stok masuk",F681&lt;0),"Stok masuk harus +",IF(AND(C681="Stok keluar",F681&gt;0),"Stok keluar harus -",IF(H681&lt;0,"Stok negatif","OK")))))</f>
        <v/>
      </c>
    </row>
    <row r="682" spans="1:11" x14ac:dyDescent="0.3">
      <c r="A682" s="9" t="str">
        <f t="shared" si="20"/>
        <v/>
      </c>
      <c r="B682" s="10"/>
      <c r="C682" s="5"/>
      <c r="D682" s="5"/>
      <c r="E682" s="11" t="str">
        <f>IF(D682="","",IFERROR(INDEX('Master Produk'!$B$2:$B$101,MATCH(D682,'Master Produk'!$A$2:$A$101,0)),"SKU tidak ada di master"))</f>
        <v/>
      </c>
      <c r="F682" s="6"/>
      <c r="G682" s="12" t="str">
        <f>IF(D682="","",IFERROR(INDEX('Master Produk'!$C$2:$C$101,MATCH(D682,'Master Produk'!$A$2:$A$101,0)),0)+SUMIFS(F$1:F681,D$1:D681,D682))</f>
        <v/>
      </c>
      <c r="H682" s="12" t="str">
        <f t="shared" si="21"/>
        <v/>
      </c>
      <c r="I682" s="5"/>
      <c r="J682" s="5"/>
      <c r="K682" s="11" t="str">
        <f>IF(D682="","",IF(ISNA(MATCH(D682,'Master Produk'!$A$2:$A$101,0)),"SKU tidak ada di master",IF(AND(C682="Stok masuk",F682&lt;0),"Stok masuk harus +",IF(AND(C682="Stok keluar",F682&gt;0),"Stok keluar harus -",IF(H682&lt;0,"Stok negatif","OK")))))</f>
        <v/>
      </c>
    </row>
    <row r="683" spans="1:11" x14ac:dyDescent="0.3">
      <c r="A683" s="9" t="str">
        <f t="shared" si="20"/>
        <v/>
      </c>
      <c r="B683" s="10"/>
      <c r="C683" s="5"/>
      <c r="D683" s="5"/>
      <c r="E683" s="11" t="str">
        <f>IF(D683="","",IFERROR(INDEX('Master Produk'!$B$2:$B$101,MATCH(D683,'Master Produk'!$A$2:$A$101,0)),"SKU tidak ada di master"))</f>
        <v/>
      </c>
      <c r="F683" s="6"/>
      <c r="G683" s="12" t="str">
        <f>IF(D683="","",IFERROR(INDEX('Master Produk'!$C$2:$C$101,MATCH(D683,'Master Produk'!$A$2:$A$101,0)),0)+SUMIFS(F$1:F682,D$1:D682,D683))</f>
        <v/>
      </c>
      <c r="H683" s="12" t="str">
        <f t="shared" si="21"/>
        <v/>
      </c>
      <c r="I683" s="5"/>
      <c r="J683" s="5"/>
      <c r="K683" s="11" t="str">
        <f>IF(D683="","",IF(ISNA(MATCH(D683,'Master Produk'!$A$2:$A$101,0)),"SKU tidak ada di master",IF(AND(C683="Stok masuk",F683&lt;0),"Stok masuk harus +",IF(AND(C683="Stok keluar",F683&gt;0),"Stok keluar harus -",IF(H683&lt;0,"Stok negatif","OK")))))</f>
        <v/>
      </c>
    </row>
    <row r="684" spans="1:11" x14ac:dyDescent="0.3">
      <c r="A684" s="9" t="str">
        <f t="shared" si="20"/>
        <v/>
      </c>
      <c r="B684" s="10"/>
      <c r="C684" s="5"/>
      <c r="D684" s="5"/>
      <c r="E684" s="11" t="str">
        <f>IF(D684="","",IFERROR(INDEX('Master Produk'!$B$2:$B$101,MATCH(D684,'Master Produk'!$A$2:$A$101,0)),"SKU tidak ada di master"))</f>
        <v/>
      </c>
      <c r="F684" s="6"/>
      <c r="G684" s="12" t="str">
        <f>IF(D684="","",IFERROR(INDEX('Master Produk'!$C$2:$C$101,MATCH(D684,'Master Produk'!$A$2:$A$101,0)),0)+SUMIFS(F$1:F683,D$1:D683,D684))</f>
        <v/>
      </c>
      <c r="H684" s="12" t="str">
        <f t="shared" si="21"/>
        <v/>
      </c>
      <c r="I684" s="5"/>
      <c r="J684" s="5"/>
      <c r="K684" s="11" t="str">
        <f>IF(D684="","",IF(ISNA(MATCH(D684,'Master Produk'!$A$2:$A$101,0)),"SKU tidak ada di master",IF(AND(C684="Stok masuk",F684&lt;0),"Stok masuk harus +",IF(AND(C684="Stok keluar",F684&gt;0),"Stok keluar harus -",IF(H684&lt;0,"Stok negatif","OK")))))</f>
        <v/>
      </c>
    </row>
    <row r="685" spans="1:11" x14ac:dyDescent="0.3">
      <c r="A685" s="9" t="str">
        <f t="shared" si="20"/>
        <v/>
      </c>
      <c r="B685" s="10"/>
      <c r="C685" s="5"/>
      <c r="D685" s="5"/>
      <c r="E685" s="11" t="str">
        <f>IF(D685="","",IFERROR(INDEX('Master Produk'!$B$2:$B$101,MATCH(D685,'Master Produk'!$A$2:$A$101,0)),"SKU tidak ada di master"))</f>
        <v/>
      </c>
      <c r="F685" s="6"/>
      <c r="G685" s="12" t="str">
        <f>IF(D685="","",IFERROR(INDEX('Master Produk'!$C$2:$C$101,MATCH(D685,'Master Produk'!$A$2:$A$101,0)),0)+SUMIFS(F$1:F684,D$1:D684,D685))</f>
        <v/>
      </c>
      <c r="H685" s="12" t="str">
        <f t="shared" si="21"/>
        <v/>
      </c>
      <c r="I685" s="5"/>
      <c r="J685" s="5"/>
      <c r="K685" s="11" t="str">
        <f>IF(D685="","",IF(ISNA(MATCH(D685,'Master Produk'!$A$2:$A$101,0)),"SKU tidak ada di master",IF(AND(C685="Stok masuk",F685&lt;0),"Stok masuk harus +",IF(AND(C685="Stok keluar",F685&gt;0),"Stok keluar harus -",IF(H685&lt;0,"Stok negatif","OK")))))</f>
        <v/>
      </c>
    </row>
    <row r="686" spans="1:11" x14ac:dyDescent="0.3">
      <c r="A686" s="9" t="str">
        <f t="shared" si="20"/>
        <v/>
      </c>
      <c r="B686" s="10"/>
      <c r="C686" s="5"/>
      <c r="D686" s="5"/>
      <c r="E686" s="11" t="str">
        <f>IF(D686="","",IFERROR(INDEX('Master Produk'!$B$2:$B$101,MATCH(D686,'Master Produk'!$A$2:$A$101,0)),"SKU tidak ada di master"))</f>
        <v/>
      </c>
      <c r="F686" s="6"/>
      <c r="G686" s="12" t="str">
        <f>IF(D686="","",IFERROR(INDEX('Master Produk'!$C$2:$C$101,MATCH(D686,'Master Produk'!$A$2:$A$101,0)),0)+SUMIFS(F$1:F685,D$1:D685,D686))</f>
        <v/>
      </c>
      <c r="H686" s="12" t="str">
        <f t="shared" si="21"/>
        <v/>
      </c>
      <c r="I686" s="5"/>
      <c r="J686" s="5"/>
      <c r="K686" s="11" t="str">
        <f>IF(D686="","",IF(ISNA(MATCH(D686,'Master Produk'!$A$2:$A$101,0)),"SKU tidak ada di master",IF(AND(C686="Stok masuk",F686&lt;0),"Stok masuk harus +",IF(AND(C686="Stok keluar",F686&gt;0),"Stok keluar harus -",IF(H686&lt;0,"Stok negatif","OK")))))</f>
        <v/>
      </c>
    </row>
    <row r="687" spans="1:11" x14ac:dyDescent="0.3">
      <c r="A687" s="9" t="str">
        <f t="shared" si="20"/>
        <v/>
      </c>
      <c r="B687" s="10"/>
      <c r="C687" s="5"/>
      <c r="D687" s="5"/>
      <c r="E687" s="11" t="str">
        <f>IF(D687="","",IFERROR(INDEX('Master Produk'!$B$2:$B$101,MATCH(D687,'Master Produk'!$A$2:$A$101,0)),"SKU tidak ada di master"))</f>
        <v/>
      </c>
      <c r="F687" s="6"/>
      <c r="G687" s="12" t="str">
        <f>IF(D687="","",IFERROR(INDEX('Master Produk'!$C$2:$C$101,MATCH(D687,'Master Produk'!$A$2:$A$101,0)),0)+SUMIFS(F$1:F686,D$1:D686,D687))</f>
        <v/>
      </c>
      <c r="H687" s="12" t="str">
        <f t="shared" si="21"/>
        <v/>
      </c>
      <c r="I687" s="5"/>
      <c r="J687" s="5"/>
      <c r="K687" s="11" t="str">
        <f>IF(D687="","",IF(ISNA(MATCH(D687,'Master Produk'!$A$2:$A$101,0)),"SKU tidak ada di master",IF(AND(C687="Stok masuk",F687&lt;0),"Stok masuk harus +",IF(AND(C687="Stok keluar",F687&gt;0),"Stok keluar harus -",IF(H687&lt;0,"Stok negatif","OK")))))</f>
        <v/>
      </c>
    </row>
    <row r="688" spans="1:11" x14ac:dyDescent="0.3">
      <c r="A688" s="9" t="str">
        <f t="shared" si="20"/>
        <v/>
      </c>
      <c r="B688" s="10"/>
      <c r="C688" s="5"/>
      <c r="D688" s="5"/>
      <c r="E688" s="11" t="str">
        <f>IF(D688="","",IFERROR(INDEX('Master Produk'!$B$2:$B$101,MATCH(D688,'Master Produk'!$A$2:$A$101,0)),"SKU tidak ada di master"))</f>
        <v/>
      </c>
      <c r="F688" s="6"/>
      <c r="G688" s="12" t="str">
        <f>IF(D688="","",IFERROR(INDEX('Master Produk'!$C$2:$C$101,MATCH(D688,'Master Produk'!$A$2:$A$101,0)),0)+SUMIFS(F$1:F687,D$1:D687,D688))</f>
        <v/>
      </c>
      <c r="H688" s="12" t="str">
        <f t="shared" si="21"/>
        <v/>
      </c>
      <c r="I688" s="5"/>
      <c r="J688" s="5"/>
      <c r="K688" s="11" t="str">
        <f>IF(D688="","",IF(ISNA(MATCH(D688,'Master Produk'!$A$2:$A$101,0)),"SKU tidak ada di master",IF(AND(C688="Stok masuk",F688&lt;0),"Stok masuk harus +",IF(AND(C688="Stok keluar",F688&gt;0),"Stok keluar harus -",IF(H688&lt;0,"Stok negatif","OK")))))</f>
        <v/>
      </c>
    </row>
    <row r="689" spans="1:11" x14ac:dyDescent="0.3">
      <c r="A689" s="9" t="str">
        <f t="shared" si="20"/>
        <v/>
      </c>
      <c r="B689" s="10"/>
      <c r="C689" s="5"/>
      <c r="D689" s="5"/>
      <c r="E689" s="11" t="str">
        <f>IF(D689="","",IFERROR(INDEX('Master Produk'!$B$2:$B$101,MATCH(D689,'Master Produk'!$A$2:$A$101,0)),"SKU tidak ada di master"))</f>
        <v/>
      </c>
      <c r="F689" s="6"/>
      <c r="G689" s="12" t="str">
        <f>IF(D689="","",IFERROR(INDEX('Master Produk'!$C$2:$C$101,MATCH(D689,'Master Produk'!$A$2:$A$101,0)),0)+SUMIFS(F$1:F688,D$1:D688,D689))</f>
        <v/>
      </c>
      <c r="H689" s="12" t="str">
        <f t="shared" si="21"/>
        <v/>
      </c>
      <c r="I689" s="5"/>
      <c r="J689" s="5"/>
      <c r="K689" s="11" t="str">
        <f>IF(D689="","",IF(ISNA(MATCH(D689,'Master Produk'!$A$2:$A$101,0)),"SKU tidak ada di master",IF(AND(C689="Stok masuk",F689&lt;0),"Stok masuk harus +",IF(AND(C689="Stok keluar",F689&gt;0),"Stok keluar harus -",IF(H689&lt;0,"Stok negatif","OK")))))</f>
        <v/>
      </c>
    </row>
    <row r="690" spans="1:11" x14ac:dyDescent="0.3">
      <c r="A690" s="9" t="str">
        <f t="shared" si="20"/>
        <v/>
      </c>
      <c r="B690" s="10"/>
      <c r="C690" s="5"/>
      <c r="D690" s="5"/>
      <c r="E690" s="11" t="str">
        <f>IF(D690="","",IFERROR(INDEX('Master Produk'!$B$2:$B$101,MATCH(D690,'Master Produk'!$A$2:$A$101,0)),"SKU tidak ada di master"))</f>
        <v/>
      </c>
      <c r="F690" s="6"/>
      <c r="G690" s="12" t="str">
        <f>IF(D690="","",IFERROR(INDEX('Master Produk'!$C$2:$C$101,MATCH(D690,'Master Produk'!$A$2:$A$101,0)),0)+SUMIFS(F$1:F689,D$1:D689,D690))</f>
        <v/>
      </c>
      <c r="H690" s="12" t="str">
        <f t="shared" si="21"/>
        <v/>
      </c>
      <c r="I690" s="5"/>
      <c r="J690" s="5"/>
      <c r="K690" s="11" t="str">
        <f>IF(D690="","",IF(ISNA(MATCH(D690,'Master Produk'!$A$2:$A$101,0)),"SKU tidak ada di master",IF(AND(C690="Stok masuk",F690&lt;0),"Stok masuk harus +",IF(AND(C690="Stok keluar",F690&gt;0),"Stok keluar harus -",IF(H690&lt;0,"Stok negatif","OK")))))</f>
        <v/>
      </c>
    </row>
    <row r="691" spans="1:11" x14ac:dyDescent="0.3">
      <c r="A691" s="9" t="str">
        <f t="shared" si="20"/>
        <v/>
      </c>
      <c r="B691" s="10"/>
      <c r="C691" s="5"/>
      <c r="D691" s="5"/>
      <c r="E691" s="11" t="str">
        <f>IF(D691="","",IFERROR(INDEX('Master Produk'!$B$2:$B$101,MATCH(D691,'Master Produk'!$A$2:$A$101,0)),"SKU tidak ada di master"))</f>
        <v/>
      </c>
      <c r="F691" s="6"/>
      <c r="G691" s="12" t="str">
        <f>IF(D691="","",IFERROR(INDEX('Master Produk'!$C$2:$C$101,MATCH(D691,'Master Produk'!$A$2:$A$101,0)),0)+SUMIFS(F$1:F690,D$1:D690,D691))</f>
        <v/>
      </c>
      <c r="H691" s="12" t="str">
        <f t="shared" si="21"/>
        <v/>
      </c>
      <c r="I691" s="5"/>
      <c r="J691" s="5"/>
      <c r="K691" s="11" t="str">
        <f>IF(D691="","",IF(ISNA(MATCH(D691,'Master Produk'!$A$2:$A$101,0)),"SKU tidak ada di master",IF(AND(C691="Stok masuk",F691&lt;0),"Stok masuk harus +",IF(AND(C691="Stok keluar",F691&gt;0),"Stok keluar harus -",IF(H691&lt;0,"Stok negatif","OK")))))</f>
        <v/>
      </c>
    </row>
    <row r="692" spans="1:11" x14ac:dyDescent="0.3">
      <c r="A692" s="9" t="str">
        <f t="shared" si="20"/>
        <v/>
      </c>
      <c r="B692" s="10"/>
      <c r="C692" s="5"/>
      <c r="D692" s="5"/>
      <c r="E692" s="11" t="str">
        <f>IF(D692="","",IFERROR(INDEX('Master Produk'!$B$2:$B$101,MATCH(D692,'Master Produk'!$A$2:$A$101,0)),"SKU tidak ada di master"))</f>
        <v/>
      </c>
      <c r="F692" s="6"/>
      <c r="G692" s="12" t="str">
        <f>IF(D692="","",IFERROR(INDEX('Master Produk'!$C$2:$C$101,MATCH(D692,'Master Produk'!$A$2:$A$101,0)),0)+SUMIFS(F$1:F691,D$1:D691,D692))</f>
        <v/>
      </c>
      <c r="H692" s="12" t="str">
        <f t="shared" si="21"/>
        <v/>
      </c>
      <c r="I692" s="5"/>
      <c r="J692" s="5"/>
      <c r="K692" s="11" t="str">
        <f>IF(D692="","",IF(ISNA(MATCH(D692,'Master Produk'!$A$2:$A$101,0)),"SKU tidak ada di master",IF(AND(C692="Stok masuk",F692&lt;0),"Stok masuk harus +",IF(AND(C692="Stok keluar",F692&gt;0),"Stok keluar harus -",IF(H692&lt;0,"Stok negatif","OK")))))</f>
        <v/>
      </c>
    </row>
    <row r="693" spans="1:11" x14ac:dyDescent="0.3">
      <c r="A693" s="9" t="str">
        <f t="shared" si="20"/>
        <v/>
      </c>
      <c r="B693" s="10"/>
      <c r="C693" s="5"/>
      <c r="D693" s="5"/>
      <c r="E693" s="11" t="str">
        <f>IF(D693="","",IFERROR(INDEX('Master Produk'!$B$2:$B$101,MATCH(D693,'Master Produk'!$A$2:$A$101,0)),"SKU tidak ada di master"))</f>
        <v/>
      </c>
      <c r="F693" s="6"/>
      <c r="G693" s="12" t="str">
        <f>IF(D693="","",IFERROR(INDEX('Master Produk'!$C$2:$C$101,MATCH(D693,'Master Produk'!$A$2:$A$101,0)),0)+SUMIFS(F$1:F692,D$1:D692,D693))</f>
        <v/>
      </c>
      <c r="H693" s="12" t="str">
        <f t="shared" si="21"/>
        <v/>
      </c>
      <c r="I693" s="5"/>
      <c r="J693" s="5"/>
      <c r="K693" s="11" t="str">
        <f>IF(D693="","",IF(ISNA(MATCH(D693,'Master Produk'!$A$2:$A$101,0)),"SKU tidak ada di master",IF(AND(C693="Stok masuk",F693&lt;0),"Stok masuk harus +",IF(AND(C693="Stok keluar",F693&gt;0),"Stok keluar harus -",IF(H693&lt;0,"Stok negatif","OK")))))</f>
        <v/>
      </c>
    </row>
    <row r="694" spans="1:11" x14ac:dyDescent="0.3">
      <c r="A694" s="9" t="str">
        <f t="shared" si="20"/>
        <v/>
      </c>
      <c r="B694" s="10"/>
      <c r="C694" s="5"/>
      <c r="D694" s="5"/>
      <c r="E694" s="11" t="str">
        <f>IF(D694="","",IFERROR(INDEX('Master Produk'!$B$2:$B$101,MATCH(D694,'Master Produk'!$A$2:$A$101,0)),"SKU tidak ada di master"))</f>
        <v/>
      </c>
      <c r="F694" s="6"/>
      <c r="G694" s="12" t="str">
        <f>IF(D694="","",IFERROR(INDEX('Master Produk'!$C$2:$C$101,MATCH(D694,'Master Produk'!$A$2:$A$101,0)),0)+SUMIFS(F$1:F693,D$1:D693,D694))</f>
        <v/>
      </c>
      <c r="H694" s="12" t="str">
        <f t="shared" si="21"/>
        <v/>
      </c>
      <c r="I694" s="5"/>
      <c r="J694" s="5"/>
      <c r="K694" s="11" t="str">
        <f>IF(D694="","",IF(ISNA(MATCH(D694,'Master Produk'!$A$2:$A$101,0)),"SKU tidak ada di master",IF(AND(C694="Stok masuk",F694&lt;0),"Stok masuk harus +",IF(AND(C694="Stok keluar",F694&gt;0),"Stok keluar harus -",IF(H694&lt;0,"Stok negatif","OK")))))</f>
        <v/>
      </c>
    </row>
    <row r="695" spans="1:11" x14ac:dyDescent="0.3">
      <c r="A695" s="9" t="str">
        <f t="shared" si="20"/>
        <v/>
      </c>
      <c r="B695" s="10"/>
      <c r="C695" s="5"/>
      <c r="D695" s="5"/>
      <c r="E695" s="11" t="str">
        <f>IF(D695="","",IFERROR(INDEX('Master Produk'!$B$2:$B$101,MATCH(D695,'Master Produk'!$A$2:$A$101,0)),"SKU tidak ada di master"))</f>
        <v/>
      </c>
      <c r="F695" s="6"/>
      <c r="G695" s="12" t="str">
        <f>IF(D695="","",IFERROR(INDEX('Master Produk'!$C$2:$C$101,MATCH(D695,'Master Produk'!$A$2:$A$101,0)),0)+SUMIFS(F$1:F694,D$1:D694,D695))</f>
        <v/>
      </c>
      <c r="H695" s="12" t="str">
        <f t="shared" si="21"/>
        <v/>
      </c>
      <c r="I695" s="5"/>
      <c r="J695" s="5"/>
      <c r="K695" s="11" t="str">
        <f>IF(D695="","",IF(ISNA(MATCH(D695,'Master Produk'!$A$2:$A$101,0)),"SKU tidak ada di master",IF(AND(C695="Stok masuk",F695&lt;0),"Stok masuk harus +",IF(AND(C695="Stok keluar",F695&gt;0),"Stok keluar harus -",IF(H695&lt;0,"Stok negatif","OK")))))</f>
        <v/>
      </c>
    </row>
    <row r="696" spans="1:11" x14ac:dyDescent="0.3">
      <c r="A696" s="9" t="str">
        <f t="shared" si="20"/>
        <v/>
      </c>
      <c r="B696" s="10"/>
      <c r="C696" s="5"/>
      <c r="D696" s="5"/>
      <c r="E696" s="11" t="str">
        <f>IF(D696="","",IFERROR(INDEX('Master Produk'!$B$2:$B$101,MATCH(D696,'Master Produk'!$A$2:$A$101,0)),"SKU tidak ada di master"))</f>
        <v/>
      </c>
      <c r="F696" s="6"/>
      <c r="G696" s="12" t="str">
        <f>IF(D696="","",IFERROR(INDEX('Master Produk'!$C$2:$C$101,MATCH(D696,'Master Produk'!$A$2:$A$101,0)),0)+SUMIFS(F$1:F695,D$1:D695,D696))</f>
        <v/>
      </c>
      <c r="H696" s="12" t="str">
        <f t="shared" si="21"/>
        <v/>
      </c>
      <c r="I696" s="5"/>
      <c r="J696" s="5"/>
      <c r="K696" s="11" t="str">
        <f>IF(D696="","",IF(ISNA(MATCH(D696,'Master Produk'!$A$2:$A$101,0)),"SKU tidak ada di master",IF(AND(C696="Stok masuk",F696&lt;0),"Stok masuk harus +",IF(AND(C696="Stok keluar",F696&gt;0),"Stok keluar harus -",IF(H696&lt;0,"Stok negatif","OK")))))</f>
        <v/>
      </c>
    </row>
    <row r="697" spans="1:11" x14ac:dyDescent="0.3">
      <c r="A697" s="9" t="str">
        <f t="shared" si="20"/>
        <v/>
      </c>
      <c r="B697" s="10"/>
      <c r="C697" s="5"/>
      <c r="D697" s="5"/>
      <c r="E697" s="11" t="str">
        <f>IF(D697="","",IFERROR(INDEX('Master Produk'!$B$2:$B$101,MATCH(D697,'Master Produk'!$A$2:$A$101,0)),"SKU tidak ada di master"))</f>
        <v/>
      </c>
      <c r="F697" s="6"/>
      <c r="G697" s="12" t="str">
        <f>IF(D697="","",IFERROR(INDEX('Master Produk'!$C$2:$C$101,MATCH(D697,'Master Produk'!$A$2:$A$101,0)),0)+SUMIFS(F$1:F696,D$1:D696,D697))</f>
        <v/>
      </c>
      <c r="H697" s="12" t="str">
        <f t="shared" si="21"/>
        <v/>
      </c>
      <c r="I697" s="5"/>
      <c r="J697" s="5"/>
      <c r="K697" s="11" t="str">
        <f>IF(D697="","",IF(ISNA(MATCH(D697,'Master Produk'!$A$2:$A$101,0)),"SKU tidak ada di master",IF(AND(C697="Stok masuk",F697&lt;0),"Stok masuk harus +",IF(AND(C697="Stok keluar",F697&gt;0),"Stok keluar harus -",IF(H697&lt;0,"Stok negatif","OK")))))</f>
        <v/>
      </c>
    </row>
    <row r="698" spans="1:11" x14ac:dyDescent="0.3">
      <c r="A698" s="9" t="str">
        <f t="shared" si="20"/>
        <v/>
      </c>
      <c r="B698" s="10"/>
      <c r="C698" s="5"/>
      <c r="D698" s="5"/>
      <c r="E698" s="11" t="str">
        <f>IF(D698="","",IFERROR(INDEX('Master Produk'!$B$2:$B$101,MATCH(D698,'Master Produk'!$A$2:$A$101,0)),"SKU tidak ada di master"))</f>
        <v/>
      </c>
      <c r="F698" s="6"/>
      <c r="G698" s="12" t="str">
        <f>IF(D698="","",IFERROR(INDEX('Master Produk'!$C$2:$C$101,MATCH(D698,'Master Produk'!$A$2:$A$101,0)),0)+SUMIFS(F$1:F697,D$1:D697,D698))</f>
        <v/>
      </c>
      <c r="H698" s="12" t="str">
        <f t="shared" si="21"/>
        <v/>
      </c>
      <c r="I698" s="5"/>
      <c r="J698" s="5"/>
      <c r="K698" s="11" t="str">
        <f>IF(D698="","",IF(ISNA(MATCH(D698,'Master Produk'!$A$2:$A$101,0)),"SKU tidak ada di master",IF(AND(C698="Stok masuk",F698&lt;0),"Stok masuk harus +",IF(AND(C698="Stok keluar",F698&gt;0),"Stok keluar harus -",IF(H698&lt;0,"Stok negatif","OK")))))</f>
        <v/>
      </c>
    </row>
    <row r="699" spans="1:11" x14ac:dyDescent="0.3">
      <c r="A699" s="9" t="str">
        <f t="shared" si="20"/>
        <v/>
      </c>
      <c r="B699" s="10"/>
      <c r="C699" s="5"/>
      <c r="D699" s="5"/>
      <c r="E699" s="11" t="str">
        <f>IF(D699="","",IFERROR(INDEX('Master Produk'!$B$2:$B$101,MATCH(D699,'Master Produk'!$A$2:$A$101,0)),"SKU tidak ada di master"))</f>
        <v/>
      </c>
      <c r="F699" s="6"/>
      <c r="G699" s="12" t="str">
        <f>IF(D699="","",IFERROR(INDEX('Master Produk'!$C$2:$C$101,MATCH(D699,'Master Produk'!$A$2:$A$101,0)),0)+SUMIFS(F$1:F698,D$1:D698,D699))</f>
        <v/>
      </c>
      <c r="H699" s="12" t="str">
        <f t="shared" si="21"/>
        <v/>
      </c>
      <c r="I699" s="5"/>
      <c r="J699" s="5"/>
      <c r="K699" s="11" t="str">
        <f>IF(D699="","",IF(ISNA(MATCH(D699,'Master Produk'!$A$2:$A$101,0)),"SKU tidak ada di master",IF(AND(C699="Stok masuk",F699&lt;0),"Stok masuk harus +",IF(AND(C699="Stok keluar",F699&gt;0),"Stok keluar harus -",IF(H699&lt;0,"Stok negatif","OK")))))</f>
        <v/>
      </c>
    </row>
    <row r="700" spans="1:11" x14ac:dyDescent="0.3">
      <c r="A700" s="9" t="str">
        <f t="shared" si="20"/>
        <v/>
      </c>
      <c r="B700" s="10"/>
      <c r="C700" s="5"/>
      <c r="D700" s="5"/>
      <c r="E700" s="11" t="str">
        <f>IF(D700="","",IFERROR(INDEX('Master Produk'!$B$2:$B$101,MATCH(D700,'Master Produk'!$A$2:$A$101,0)),"SKU tidak ada di master"))</f>
        <v/>
      </c>
      <c r="F700" s="6"/>
      <c r="G700" s="12" t="str">
        <f>IF(D700="","",IFERROR(INDEX('Master Produk'!$C$2:$C$101,MATCH(D700,'Master Produk'!$A$2:$A$101,0)),0)+SUMIFS(F$1:F699,D$1:D699,D700))</f>
        <v/>
      </c>
      <c r="H700" s="12" t="str">
        <f t="shared" si="21"/>
        <v/>
      </c>
      <c r="I700" s="5"/>
      <c r="J700" s="5"/>
      <c r="K700" s="11" t="str">
        <f>IF(D700="","",IF(ISNA(MATCH(D700,'Master Produk'!$A$2:$A$101,0)),"SKU tidak ada di master",IF(AND(C700="Stok masuk",F700&lt;0),"Stok masuk harus +",IF(AND(C700="Stok keluar",F700&gt;0),"Stok keluar harus -",IF(H700&lt;0,"Stok negatif","OK")))))</f>
        <v/>
      </c>
    </row>
    <row r="701" spans="1:11" x14ac:dyDescent="0.3">
      <c r="A701" s="9" t="str">
        <f t="shared" si="20"/>
        <v/>
      </c>
      <c r="B701" s="10"/>
      <c r="C701" s="5"/>
      <c r="D701" s="5"/>
      <c r="E701" s="11" t="str">
        <f>IF(D701="","",IFERROR(INDEX('Master Produk'!$B$2:$B$101,MATCH(D701,'Master Produk'!$A$2:$A$101,0)),"SKU tidak ada di master"))</f>
        <v/>
      </c>
      <c r="F701" s="6"/>
      <c r="G701" s="12" t="str">
        <f>IF(D701="","",IFERROR(INDEX('Master Produk'!$C$2:$C$101,MATCH(D701,'Master Produk'!$A$2:$A$101,0)),0)+SUMIFS(F$1:F700,D$1:D700,D701))</f>
        <v/>
      </c>
      <c r="H701" s="12" t="str">
        <f t="shared" si="21"/>
        <v/>
      </c>
      <c r="I701" s="5"/>
      <c r="J701" s="5"/>
      <c r="K701" s="11" t="str">
        <f>IF(D701="","",IF(ISNA(MATCH(D701,'Master Produk'!$A$2:$A$101,0)),"SKU tidak ada di master",IF(AND(C701="Stok masuk",F701&lt;0),"Stok masuk harus +",IF(AND(C701="Stok keluar",F701&gt;0),"Stok keluar harus -",IF(H701&lt;0,"Stok negatif","OK")))))</f>
        <v/>
      </c>
    </row>
    <row r="702" spans="1:11" x14ac:dyDescent="0.3">
      <c r="A702" s="9" t="str">
        <f t="shared" si="20"/>
        <v/>
      </c>
      <c r="B702" s="10"/>
      <c r="C702" s="5"/>
      <c r="D702" s="5"/>
      <c r="E702" s="11" t="str">
        <f>IF(D702="","",IFERROR(INDEX('Master Produk'!$B$2:$B$101,MATCH(D702,'Master Produk'!$A$2:$A$101,0)),"SKU tidak ada di master"))</f>
        <v/>
      </c>
      <c r="F702" s="6"/>
      <c r="G702" s="12" t="str">
        <f>IF(D702="","",IFERROR(INDEX('Master Produk'!$C$2:$C$101,MATCH(D702,'Master Produk'!$A$2:$A$101,0)),0)+SUMIFS(F$1:F701,D$1:D701,D702))</f>
        <v/>
      </c>
      <c r="H702" s="12" t="str">
        <f t="shared" si="21"/>
        <v/>
      </c>
      <c r="I702" s="5"/>
      <c r="J702" s="5"/>
      <c r="K702" s="11" t="str">
        <f>IF(D702="","",IF(ISNA(MATCH(D702,'Master Produk'!$A$2:$A$101,0)),"SKU tidak ada di master",IF(AND(C702="Stok masuk",F702&lt;0),"Stok masuk harus +",IF(AND(C702="Stok keluar",F702&gt;0),"Stok keluar harus -",IF(H702&lt;0,"Stok negatif","OK")))))</f>
        <v/>
      </c>
    </row>
    <row r="703" spans="1:11" x14ac:dyDescent="0.3">
      <c r="A703" s="9" t="str">
        <f t="shared" si="20"/>
        <v/>
      </c>
      <c r="B703" s="10"/>
      <c r="C703" s="5"/>
      <c r="D703" s="5"/>
      <c r="E703" s="11" t="str">
        <f>IF(D703="","",IFERROR(INDEX('Master Produk'!$B$2:$B$101,MATCH(D703,'Master Produk'!$A$2:$A$101,0)),"SKU tidak ada di master"))</f>
        <v/>
      </c>
      <c r="F703" s="6"/>
      <c r="G703" s="12" t="str">
        <f>IF(D703="","",IFERROR(INDEX('Master Produk'!$C$2:$C$101,MATCH(D703,'Master Produk'!$A$2:$A$101,0)),0)+SUMIFS(F$1:F702,D$1:D702,D703))</f>
        <v/>
      </c>
      <c r="H703" s="12" t="str">
        <f t="shared" si="21"/>
        <v/>
      </c>
      <c r="I703" s="5"/>
      <c r="J703" s="5"/>
      <c r="K703" s="11" t="str">
        <f>IF(D703="","",IF(ISNA(MATCH(D703,'Master Produk'!$A$2:$A$101,0)),"SKU tidak ada di master",IF(AND(C703="Stok masuk",F703&lt;0),"Stok masuk harus +",IF(AND(C703="Stok keluar",F703&gt;0),"Stok keluar harus -",IF(H703&lt;0,"Stok negatif","OK")))))</f>
        <v/>
      </c>
    </row>
    <row r="704" spans="1:11" x14ac:dyDescent="0.3">
      <c r="A704" s="9" t="str">
        <f t="shared" si="20"/>
        <v/>
      </c>
      <c r="B704" s="10"/>
      <c r="C704" s="5"/>
      <c r="D704" s="5"/>
      <c r="E704" s="11" t="str">
        <f>IF(D704="","",IFERROR(INDEX('Master Produk'!$B$2:$B$101,MATCH(D704,'Master Produk'!$A$2:$A$101,0)),"SKU tidak ada di master"))</f>
        <v/>
      </c>
      <c r="F704" s="6"/>
      <c r="G704" s="12" t="str">
        <f>IF(D704="","",IFERROR(INDEX('Master Produk'!$C$2:$C$101,MATCH(D704,'Master Produk'!$A$2:$A$101,0)),0)+SUMIFS(F$1:F703,D$1:D703,D704))</f>
        <v/>
      </c>
      <c r="H704" s="12" t="str">
        <f t="shared" si="21"/>
        <v/>
      </c>
      <c r="I704" s="5"/>
      <c r="J704" s="5"/>
      <c r="K704" s="11" t="str">
        <f>IF(D704="","",IF(ISNA(MATCH(D704,'Master Produk'!$A$2:$A$101,0)),"SKU tidak ada di master",IF(AND(C704="Stok masuk",F704&lt;0),"Stok masuk harus +",IF(AND(C704="Stok keluar",F704&gt;0),"Stok keluar harus -",IF(H704&lt;0,"Stok negatif","OK")))))</f>
        <v/>
      </c>
    </row>
    <row r="705" spans="1:11" x14ac:dyDescent="0.3">
      <c r="A705" s="9" t="str">
        <f t="shared" si="20"/>
        <v/>
      </c>
      <c r="B705" s="10"/>
      <c r="C705" s="5"/>
      <c r="D705" s="5"/>
      <c r="E705" s="11" t="str">
        <f>IF(D705="","",IFERROR(INDEX('Master Produk'!$B$2:$B$101,MATCH(D705,'Master Produk'!$A$2:$A$101,0)),"SKU tidak ada di master"))</f>
        <v/>
      </c>
      <c r="F705" s="6"/>
      <c r="G705" s="12" t="str">
        <f>IF(D705="","",IFERROR(INDEX('Master Produk'!$C$2:$C$101,MATCH(D705,'Master Produk'!$A$2:$A$101,0)),0)+SUMIFS(F$1:F704,D$1:D704,D705))</f>
        <v/>
      </c>
      <c r="H705" s="12" t="str">
        <f t="shared" si="21"/>
        <v/>
      </c>
      <c r="I705" s="5"/>
      <c r="J705" s="5"/>
      <c r="K705" s="11" t="str">
        <f>IF(D705="","",IF(ISNA(MATCH(D705,'Master Produk'!$A$2:$A$101,0)),"SKU tidak ada di master",IF(AND(C705="Stok masuk",F705&lt;0),"Stok masuk harus +",IF(AND(C705="Stok keluar",F705&gt;0),"Stok keluar harus -",IF(H705&lt;0,"Stok negatif","OK")))))</f>
        <v/>
      </c>
    </row>
    <row r="706" spans="1:11" x14ac:dyDescent="0.3">
      <c r="A706" s="9" t="str">
        <f t="shared" ref="A706:A769" si="22">IF(D706="","",ROW()-1)</f>
        <v/>
      </c>
      <c r="B706" s="10"/>
      <c r="C706" s="5"/>
      <c r="D706" s="5"/>
      <c r="E706" s="11" t="str">
        <f>IF(D706="","",IFERROR(INDEX('Master Produk'!$B$2:$B$101,MATCH(D706,'Master Produk'!$A$2:$A$101,0)),"SKU tidak ada di master"))</f>
        <v/>
      </c>
      <c r="F706" s="6"/>
      <c r="G706" s="12" t="str">
        <f>IF(D706="","",IFERROR(INDEX('Master Produk'!$C$2:$C$101,MATCH(D706,'Master Produk'!$A$2:$A$101,0)),0)+SUMIFS(F$1:F705,D$1:D705,D706))</f>
        <v/>
      </c>
      <c r="H706" s="12" t="str">
        <f t="shared" ref="H706:H769" si="23">IF(D706="","",G706+F706)</f>
        <v/>
      </c>
      <c r="I706" s="5"/>
      <c r="J706" s="5"/>
      <c r="K706" s="11" t="str">
        <f>IF(D706="","",IF(ISNA(MATCH(D706,'Master Produk'!$A$2:$A$101,0)),"SKU tidak ada di master",IF(AND(C706="Stok masuk",F706&lt;0),"Stok masuk harus +",IF(AND(C706="Stok keluar",F706&gt;0),"Stok keluar harus -",IF(H706&lt;0,"Stok negatif","OK")))))</f>
        <v/>
      </c>
    </row>
    <row r="707" spans="1:11" x14ac:dyDescent="0.3">
      <c r="A707" s="9" t="str">
        <f t="shared" si="22"/>
        <v/>
      </c>
      <c r="B707" s="10"/>
      <c r="C707" s="5"/>
      <c r="D707" s="5"/>
      <c r="E707" s="11" t="str">
        <f>IF(D707="","",IFERROR(INDEX('Master Produk'!$B$2:$B$101,MATCH(D707,'Master Produk'!$A$2:$A$101,0)),"SKU tidak ada di master"))</f>
        <v/>
      </c>
      <c r="F707" s="6"/>
      <c r="G707" s="12" t="str">
        <f>IF(D707="","",IFERROR(INDEX('Master Produk'!$C$2:$C$101,MATCH(D707,'Master Produk'!$A$2:$A$101,0)),0)+SUMIFS(F$1:F706,D$1:D706,D707))</f>
        <v/>
      </c>
      <c r="H707" s="12" t="str">
        <f t="shared" si="23"/>
        <v/>
      </c>
      <c r="I707" s="5"/>
      <c r="J707" s="5"/>
      <c r="K707" s="11" t="str">
        <f>IF(D707="","",IF(ISNA(MATCH(D707,'Master Produk'!$A$2:$A$101,0)),"SKU tidak ada di master",IF(AND(C707="Stok masuk",F707&lt;0),"Stok masuk harus +",IF(AND(C707="Stok keluar",F707&gt;0),"Stok keluar harus -",IF(H707&lt;0,"Stok negatif","OK")))))</f>
        <v/>
      </c>
    </row>
    <row r="708" spans="1:11" x14ac:dyDescent="0.3">
      <c r="A708" s="9" t="str">
        <f t="shared" si="22"/>
        <v/>
      </c>
      <c r="B708" s="10"/>
      <c r="C708" s="5"/>
      <c r="D708" s="5"/>
      <c r="E708" s="11" t="str">
        <f>IF(D708="","",IFERROR(INDEX('Master Produk'!$B$2:$B$101,MATCH(D708,'Master Produk'!$A$2:$A$101,0)),"SKU tidak ada di master"))</f>
        <v/>
      </c>
      <c r="F708" s="6"/>
      <c r="G708" s="12" t="str">
        <f>IF(D708="","",IFERROR(INDEX('Master Produk'!$C$2:$C$101,MATCH(D708,'Master Produk'!$A$2:$A$101,0)),0)+SUMIFS(F$1:F707,D$1:D707,D708))</f>
        <v/>
      </c>
      <c r="H708" s="12" t="str">
        <f t="shared" si="23"/>
        <v/>
      </c>
      <c r="I708" s="5"/>
      <c r="J708" s="5"/>
      <c r="K708" s="11" t="str">
        <f>IF(D708="","",IF(ISNA(MATCH(D708,'Master Produk'!$A$2:$A$101,0)),"SKU tidak ada di master",IF(AND(C708="Stok masuk",F708&lt;0),"Stok masuk harus +",IF(AND(C708="Stok keluar",F708&gt;0),"Stok keluar harus -",IF(H708&lt;0,"Stok negatif","OK")))))</f>
        <v/>
      </c>
    </row>
    <row r="709" spans="1:11" x14ac:dyDescent="0.3">
      <c r="A709" s="9" t="str">
        <f t="shared" si="22"/>
        <v/>
      </c>
      <c r="B709" s="10"/>
      <c r="C709" s="5"/>
      <c r="D709" s="5"/>
      <c r="E709" s="11" t="str">
        <f>IF(D709="","",IFERROR(INDEX('Master Produk'!$B$2:$B$101,MATCH(D709,'Master Produk'!$A$2:$A$101,0)),"SKU tidak ada di master"))</f>
        <v/>
      </c>
      <c r="F709" s="6"/>
      <c r="G709" s="12" t="str">
        <f>IF(D709="","",IFERROR(INDEX('Master Produk'!$C$2:$C$101,MATCH(D709,'Master Produk'!$A$2:$A$101,0)),0)+SUMIFS(F$1:F708,D$1:D708,D709))</f>
        <v/>
      </c>
      <c r="H709" s="12" t="str">
        <f t="shared" si="23"/>
        <v/>
      </c>
      <c r="I709" s="5"/>
      <c r="J709" s="5"/>
      <c r="K709" s="11" t="str">
        <f>IF(D709="","",IF(ISNA(MATCH(D709,'Master Produk'!$A$2:$A$101,0)),"SKU tidak ada di master",IF(AND(C709="Stok masuk",F709&lt;0),"Stok masuk harus +",IF(AND(C709="Stok keluar",F709&gt;0),"Stok keluar harus -",IF(H709&lt;0,"Stok negatif","OK")))))</f>
        <v/>
      </c>
    </row>
    <row r="710" spans="1:11" x14ac:dyDescent="0.3">
      <c r="A710" s="9" t="str">
        <f t="shared" si="22"/>
        <v/>
      </c>
      <c r="B710" s="10"/>
      <c r="C710" s="5"/>
      <c r="D710" s="5"/>
      <c r="E710" s="11" t="str">
        <f>IF(D710="","",IFERROR(INDEX('Master Produk'!$B$2:$B$101,MATCH(D710,'Master Produk'!$A$2:$A$101,0)),"SKU tidak ada di master"))</f>
        <v/>
      </c>
      <c r="F710" s="6"/>
      <c r="G710" s="12" t="str">
        <f>IF(D710="","",IFERROR(INDEX('Master Produk'!$C$2:$C$101,MATCH(D710,'Master Produk'!$A$2:$A$101,0)),0)+SUMIFS(F$1:F709,D$1:D709,D710))</f>
        <v/>
      </c>
      <c r="H710" s="12" t="str">
        <f t="shared" si="23"/>
        <v/>
      </c>
      <c r="I710" s="5"/>
      <c r="J710" s="5"/>
      <c r="K710" s="11" t="str">
        <f>IF(D710="","",IF(ISNA(MATCH(D710,'Master Produk'!$A$2:$A$101,0)),"SKU tidak ada di master",IF(AND(C710="Stok masuk",F710&lt;0),"Stok masuk harus +",IF(AND(C710="Stok keluar",F710&gt;0),"Stok keluar harus -",IF(H710&lt;0,"Stok negatif","OK")))))</f>
        <v/>
      </c>
    </row>
    <row r="711" spans="1:11" x14ac:dyDescent="0.3">
      <c r="A711" s="9" t="str">
        <f t="shared" si="22"/>
        <v/>
      </c>
      <c r="B711" s="10"/>
      <c r="C711" s="5"/>
      <c r="D711" s="5"/>
      <c r="E711" s="11" t="str">
        <f>IF(D711="","",IFERROR(INDEX('Master Produk'!$B$2:$B$101,MATCH(D711,'Master Produk'!$A$2:$A$101,0)),"SKU tidak ada di master"))</f>
        <v/>
      </c>
      <c r="F711" s="6"/>
      <c r="G711" s="12" t="str">
        <f>IF(D711="","",IFERROR(INDEX('Master Produk'!$C$2:$C$101,MATCH(D711,'Master Produk'!$A$2:$A$101,0)),0)+SUMIFS(F$1:F710,D$1:D710,D711))</f>
        <v/>
      </c>
      <c r="H711" s="12" t="str">
        <f t="shared" si="23"/>
        <v/>
      </c>
      <c r="I711" s="5"/>
      <c r="J711" s="5"/>
      <c r="K711" s="11" t="str">
        <f>IF(D711="","",IF(ISNA(MATCH(D711,'Master Produk'!$A$2:$A$101,0)),"SKU tidak ada di master",IF(AND(C711="Stok masuk",F711&lt;0),"Stok masuk harus +",IF(AND(C711="Stok keluar",F711&gt;0),"Stok keluar harus -",IF(H711&lt;0,"Stok negatif","OK")))))</f>
        <v/>
      </c>
    </row>
    <row r="712" spans="1:11" x14ac:dyDescent="0.3">
      <c r="A712" s="9" t="str">
        <f t="shared" si="22"/>
        <v/>
      </c>
      <c r="B712" s="10"/>
      <c r="C712" s="5"/>
      <c r="D712" s="5"/>
      <c r="E712" s="11" t="str">
        <f>IF(D712="","",IFERROR(INDEX('Master Produk'!$B$2:$B$101,MATCH(D712,'Master Produk'!$A$2:$A$101,0)),"SKU tidak ada di master"))</f>
        <v/>
      </c>
      <c r="F712" s="6"/>
      <c r="G712" s="12" t="str">
        <f>IF(D712="","",IFERROR(INDEX('Master Produk'!$C$2:$C$101,MATCH(D712,'Master Produk'!$A$2:$A$101,0)),0)+SUMIFS(F$1:F711,D$1:D711,D712))</f>
        <v/>
      </c>
      <c r="H712" s="12" t="str">
        <f t="shared" si="23"/>
        <v/>
      </c>
      <c r="I712" s="5"/>
      <c r="J712" s="5"/>
      <c r="K712" s="11" t="str">
        <f>IF(D712="","",IF(ISNA(MATCH(D712,'Master Produk'!$A$2:$A$101,0)),"SKU tidak ada di master",IF(AND(C712="Stok masuk",F712&lt;0),"Stok masuk harus +",IF(AND(C712="Stok keluar",F712&gt;0),"Stok keluar harus -",IF(H712&lt;0,"Stok negatif","OK")))))</f>
        <v/>
      </c>
    </row>
    <row r="713" spans="1:11" x14ac:dyDescent="0.3">
      <c r="A713" s="9" t="str">
        <f t="shared" si="22"/>
        <v/>
      </c>
      <c r="B713" s="10"/>
      <c r="C713" s="5"/>
      <c r="D713" s="5"/>
      <c r="E713" s="11" t="str">
        <f>IF(D713="","",IFERROR(INDEX('Master Produk'!$B$2:$B$101,MATCH(D713,'Master Produk'!$A$2:$A$101,0)),"SKU tidak ada di master"))</f>
        <v/>
      </c>
      <c r="F713" s="6"/>
      <c r="G713" s="12" t="str">
        <f>IF(D713="","",IFERROR(INDEX('Master Produk'!$C$2:$C$101,MATCH(D713,'Master Produk'!$A$2:$A$101,0)),0)+SUMIFS(F$1:F712,D$1:D712,D713))</f>
        <v/>
      </c>
      <c r="H713" s="12" t="str">
        <f t="shared" si="23"/>
        <v/>
      </c>
      <c r="I713" s="5"/>
      <c r="J713" s="5"/>
      <c r="K713" s="11" t="str">
        <f>IF(D713="","",IF(ISNA(MATCH(D713,'Master Produk'!$A$2:$A$101,0)),"SKU tidak ada di master",IF(AND(C713="Stok masuk",F713&lt;0),"Stok masuk harus +",IF(AND(C713="Stok keluar",F713&gt;0),"Stok keluar harus -",IF(H713&lt;0,"Stok negatif","OK")))))</f>
        <v/>
      </c>
    </row>
    <row r="714" spans="1:11" x14ac:dyDescent="0.3">
      <c r="A714" s="9" t="str">
        <f t="shared" si="22"/>
        <v/>
      </c>
      <c r="B714" s="10"/>
      <c r="C714" s="5"/>
      <c r="D714" s="5"/>
      <c r="E714" s="11" t="str">
        <f>IF(D714="","",IFERROR(INDEX('Master Produk'!$B$2:$B$101,MATCH(D714,'Master Produk'!$A$2:$A$101,0)),"SKU tidak ada di master"))</f>
        <v/>
      </c>
      <c r="F714" s="6"/>
      <c r="G714" s="12" t="str">
        <f>IF(D714="","",IFERROR(INDEX('Master Produk'!$C$2:$C$101,MATCH(D714,'Master Produk'!$A$2:$A$101,0)),0)+SUMIFS(F$1:F713,D$1:D713,D714))</f>
        <v/>
      </c>
      <c r="H714" s="12" t="str">
        <f t="shared" si="23"/>
        <v/>
      </c>
      <c r="I714" s="5"/>
      <c r="J714" s="5"/>
      <c r="K714" s="11" t="str">
        <f>IF(D714="","",IF(ISNA(MATCH(D714,'Master Produk'!$A$2:$A$101,0)),"SKU tidak ada di master",IF(AND(C714="Stok masuk",F714&lt;0),"Stok masuk harus +",IF(AND(C714="Stok keluar",F714&gt;0),"Stok keluar harus -",IF(H714&lt;0,"Stok negatif","OK")))))</f>
        <v/>
      </c>
    </row>
    <row r="715" spans="1:11" x14ac:dyDescent="0.3">
      <c r="A715" s="9" t="str">
        <f t="shared" si="22"/>
        <v/>
      </c>
      <c r="B715" s="10"/>
      <c r="C715" s="5"/>
      <c r="D715" s="5"/>
      <c r="E715" s="11" t="str">
        <f>IF(D715="","",IFERROR(INDEX('Master Produk'!$B$2:$B$101,MATCH(D715,'Master Produk'!$A$2:$A$101,0)),"SKU tidak ada di master"))</f>
        <v/>
      </c>
      <c r="F715" s="6"/>
      <c r="G715" s="12" t="str">
        <f>IF(D715="","",IFERROR(INDEX('Master Produk'!$C$2:$C$101,MATCH(D715,'Master Produk'!$A$2:$A$101,0)),0)+SUMIFS(F$1:F714,D$1:D714,D715))</f>
        <v/>
      </c>
      <c r="H715" s="12" t="str">
        <f t="shared" si="23"/>
        <v/>
      </c>
      <c r="I715" s="5"/>
      <c r="J715" s="5"/>
      <c r="K715" s="11" t="str">
        <f>IF(D715="","",IF(ISNA(MATCH(D715,'Master Produk'!$A$2:$A$101,0)),"SKU tidak ada di master",IF(AND(C715="Stok masuk",F715&lt;0),"Stok masuk harus +",IF(AND(C715="Stok keluar",F715&gt;0),"Stok keluar harus -",IF(H715&lt;0,"Stok negatif","OK")))))</f>
        <v/>
      </c>
    </row>
    <row r="716" spans="1:11" x14ac:dyDescent="0.3">
      <c r="A716" s="9" t="str">
        <f t="shared" si="22"/>
        <v/>
      </c>
      <c r="B716" s="10"/>
      <c r="C716" s="5"/>
      <c r="D716" s="5"/>
      <c r="E716" s="11" t="str">
        <f>IF(D716="","",IFERROR(INDEX('Master Produk'!$B$2:$B$101,MATCH(D716,'Master Produk'!$A$2:$A$101,0)),"SKU tidak ada di master"))</f>
        <v/>
      </c>
      <c r="F716" s="6"/>
      <c r="G716" s="12" t="str">
        <f>IF(D716="","",IFERROR(INDEX('Master Produk'!$C$2:$C$101,MATCH(D716,'Master Produk'!$A$2:$A$101,0)),0)+SUMIFS(F$1:F715,D$1:D715,D716))</f>
        <v/>
      </c>
      <c r="H716" s="12" t="str">
        <f t="shared" si="23"/>
        <v/>
      </c>
      <c r="I716" s="5"/>
      <c r="J716" s="5"/>
      <c r="K716" s="11" t="str">
        <f>IF(D716="","",IF(ISNA(MATCH(D716,'Master Produk'!$A$2:$A$101,0)),"SKU tidak ada di master",IF(AND(C716="Stok masuk",F716&lt;0),"Stok masuk harus +",IF(AND(C716="Stok keluar",F716&gt;0),"Stok keluar harus -",IF(H716&lt;0,"Stok negatif","OK")))))</f>
        <v/>
      </c>
    </row>
    <row r="717" spans="1:11" x14ac:dyDescent="0.3">
      <c r="A717" s="9" t="str">
        <f t="shared" si="22"/>
        <v/>
      </c>
      <c r="B717" s="10"/>
      <c r="C717" s="5"/>
      <c r="D717" s="5"/>
      <c r="E717" s="11" t="str">
        <f>IF(D717="","",IFERROR(INDEX('Master Produk'!$B$2:$B$101,MATCH(D717,'Master Produk'!$A$2:$A$101,0)),"SKU tidak ada di master"))</f>
        <v/>
      </c>
      <c r="F717" s="6"/>
      <c r="G717" s="12" t="str">
        <f>IF(D717="","",IFERROR(INDEX('Master Produk'!$C$2:$C$101,MATCH(D717,'Master Produk'!$A$2:$A$101,0)),0)+SUMIFS(F$1:F716,D$1:D716,D717))</f>
        <v/>
      </c>
      <c r="H717" s="12" t="str">
        <f t="shared" si="23"/>
        <v/>
      </c>
      <c r="I717" s="5"/>
      <c r="J717" s="5"/>
      <c r="K717" s="11" t="str">
        <f>IF(D717="","",IF(ISNA(MATCH(D717,'Master Produk'!$A$2:$A$101,0)),"SKU tidak ada di master",IF(AND(C717="Stok masuk",F717&lt;0),"Stok masuk harus +",IF(AND(C717="Stok keluar",F717&gt;0),"Stok keluar harus -",IF(H717&lt;0,"Stok negatif","OK")))))</f>
        <v/>
      </c>
    </row>
    <row r="718" spans="1:11" x14ac:dyDescent="0.3">
      <c r="A718" s="9" t="str">
        <f t="shared" si="22"/>
        <v/>
      </c>
      <c r="B718" s="10"/>
      <c r="C718" s="5"/>
      <c r="D718" s="5"/>
      <c r="E718" s="11" t="str">
        <f>IF(D718="","",IFERROR(INDEX('Master Produk'!$B$2:$B$101,MATCH(D718,'Master Produk'!$A$2:$A$101,0)),"SKU tidak ada di master"))</f>
        <v/>
      </c>
      <c r="F718" s="6"/>
      <c r="G718" s="12" t="str">
        <f>IF(D718="","",IFERROR(INDEX('Master Produk'!$C$2:$C$101,MATCH(D718,'Master Produk'!$A$2:$A$101,0)),0)+SUMIFS(F$1:F717,D$1:D717,D718))</f>
        <v/>
      </c>
      <c r="H718" s="12" t="str">
        <f t="shared" si="23"/>
        <v/>
      </c>
      <c r="I718" s="5"/>
      <c r="J718" s="5"/>
      <c r="K718" s="11" t="str">
        <f>IF(D718="","",IF(ISNA(MATCH(D718,'Master Produk'!$A$2:$A$101,0)),"SKU tidak ada di master",IF(AND(C718="Stok masuk",F718&lt;0),"Stok masuk harus +",IF(AND(C718="Stok keluar",F718&gt;0),"Stok keluar harus -",IF(H718&lt;0,"Stok negatif","OK")))))</f>
        <v/>
      </c>
    </row>
    <row r="719" spans="1:11" x14ac:dyDescent="0.3">
      <c r="A719" s="9" t="str">
        <f t="shared" si="22"/>
        <v/>
      </c>
      <c r="B719" s="10"/>
      <c r="C719" s="5"/>
      <c r="D719" s="5"/>
      <c r="E719" s="11" t="str">
        <f>IF(D719="","",IFERROR(INDEX('Master Produk'!$B$2:$B$101,MATCH(D719,'Master Produk'!$A$2:$A$101,0)),"SKU tidak ada di master"))</f>
        <v/>
      </c>
      <c r="F719" s="6"/>
      <c r="G719" s="12" t="str">
        <f>IF(D719="","",IFERROR(INDEX('Master Produk'!$C$2:$C$101,MATCH(D719,'Master Produk'!$A$2:$A$101,0)),0)+SUMIFS(F$1:F718,D$1:D718,D719))</f>
        <v/>
      </c>
      <c r="H719" s="12" t="str">
        <f t="shared" si="23"/>
        <v/>
      </c>
      <c r="I719" s="5"/>
      <c r="J719" s="5"/>
      <c r="K719" s="11" t="str">
        <f>IF(D719="","",IF(ISNA(MATCH(D719,'Master Produk'!$A$2:$A$101,0)),"SKU tidak ada di master",IF(AND(C719="Stok masuk",F719&lt;0),"Stok masuk harus +",IF(AND(C719="Stok keluar",F719&gt;0),"Stok keluar harus -",IF(H719&lt;0,"Stok negatif","OK")))))</f>
        <v/>
      </c>
    </row>
    <row r="720" spans="1:11" x14ac:dyDescent="0.3">
      <c r="A720" s="9" t="str">
        <f t="shared" si="22"/>
        <v/>
      </c>
      <c r="B720" s="10"/>
      <c r="C720" s="5"/>
      <c r="D720" s="5"/>
      <c r="E720" s="11" t="str">
        <f>IF(D720="","",IFERROR(INDEX('Master Produk'!$B$2:$B$101,MATCH(D720,'Master Produk'!$A$2:$A$101,0)),"SKU tidak ada di master"))</f>
        <v/>
      </c>
      <c r="F720" s="6"/>
      <c r="G720" s="12" t="str">
        <f>IF(D720="","",IFERROR(INDEX('Master Produk'!$C$2:$C$101,MATCH(D720,'Master Produk'!$A$2:$A$101,0)),0)+SUMIFS(F$1:F719,D$1:D719,D720))</f>
        <v/>
      </c>
      <c r="H720" s="12" t="str">
        <f t="shared" si="23"/>
        <v/>
      </c>
      <c r="I720" s="5"/>
      <c r="J720" s="5"/>
      <c r="K720" s="11" t="str">
        <f>IF(D720="","",IF(ISNA(MATCH(D720,'Master Produk'!$A$2:$A$101,0)),"SKU tidak ada di master",IF(AND(C720="Stok masuk",F720&lt;0),"Stok masuk harus +",IF(AND(C720="Stok keluar",F720&gt;0),"Stok keluar harus -",IF(H720&lt;0,"Stok negatif","OK")))))</f>
        <v/>
      </c>
    </row>
    <row r="721" spans="1:11" x14ac:dyDescent="0.3">
      <c r="A721" s="9" t="str">
        <f t="shared" si="22"/>
        <v/>
      </c>
      <c r="B721" s="10"/>
      <c r="C721" s="5"/>
      <c r="D721" s="5"/>
      <c r="E721" s="11" t="str">
        <f>IF(D721="","",IFERROR(INDEX('Master Produk'!$B$2:$B$101,MATCH(D721,'Master Produk'!$A$2:$A$101,0)),"SKU tidak ada di master"))</f>
        <v/>
      </c>
      <c r="F721" s="6"/>
      <c r="G721" s="12" t="str">
        <f>IF(D721="","",IFERROR(INDEX('Master Produk'!$C$2:$C$101,MATCH(D721,'Master Produk'!$A$2:$A$101,0)),0)+SUMIFS(F$1:F720,D$1:D720,D721))</f>
        <v/>
      </c>
      <c r="H721" s="12" t="str">
        <f t="shared" si="23"/>
        <v/>
      </c>
      <c r="I721" s="5"/>
      <c r="J721" s="5"/>
      <c r="K721" s="11" t="str">
        <f>IF(D721="","",IF(ISNA(MATCH(D721,'Master Produk'!$A$2:$A$101,0)),"SKU tidak ada di master",IF(AND(C721="Stok masuk",F721&lt;0),"Stok masuk harus +",IF(AND(C721="Stok keluar",F721&gt;0),"Stok keluar harus -",IF(H721&lt;0,"Stok negatif","OK")))))</f>
        <v/>
      </c>
    </row>
    <row r="722" spans="1:11" x14ac:dyDescent="0.3">
      <c r="A722" s="9" t="str">
        <f t="shared" si="22"/>
        <v/>
      </c>
      <c r="B722" s="10"/>
      <c r="C722" s="5"/>
      <c r="D722" s="5"/>
      <c r="E722" s="11" t="str">
        <f>IF(D722="","",IFERROR(INDEX('Master Produk'!$B$2:$B$101,MATCH(D722,'Master Produk'!$A$2:$A$101,0)),"SKU tidak ada di master"))</f>
        <v/>
      </c>
      <c r="F722" s="6"/>
      <c r="G722" s="12" t="str">
        <f>IF(D722="","",IFERROR(INDEX('Master Produk'!$C$2:$C$101,MATCH(D722,'Master Produk'!$A$2:$A$101,0)),0)+SUMIFS(F$1:F721,D$1:D721,D722))</f>
        <v/>
      </c>
      <c r="H722" s="12" t="str">
        <f t="shared" si="23"/>
        <v/>
      </c>
      <c r="I722" s="5"/>
      <c r="J722" s="5"/>
      <c r="K722" s="11" t="str">
        <f>IF(D722="","",IF(ISNA(MATCH(D722,'Master Produk'!$A$2:$A$101,0)),"SKU tidak ada di master",IF(AND(C722="Stok masuk",F722&lt;0),"Stok masuk harus +",IF(AND(C722="Stok keluar",F722&gt;0),"Stok keluar harus -",IF(H722&lt;0,"Stok negatif","OK")))))</f>
        <v/>
      </c>
    </row>
    <row r="723" spans="1:11" x14ac:dyDescent="0.3">
      <c r="A723" s="9" t="str">
        <f t="shared" si="22"/>
        <v/>
      </c>
      <c r="B723" s="10"/>
      <c r="C723" s="5"/>
      <c r="D723" s="5"/>
      <c r="E723" s="11" t="str">
        <f>IF(D723="","",IFERROR(INDEX('Master Produk'!$B$2:$B$101,MATCH(D723,'Master Produk'!$A$2:$A$101,0)),"SKU tidak ada di master"))</f>
        <v/>
      </c>
      <c r="F723" s="6"/>
      <c r="G723" s="12" t="str">
        <f>IF(D723="","",IFERROR(INDEX('Master Produk'!$C$2:$C$101,MATCH(D723,'Master Produk'!$A$2:$A$101,0)),0)+SUMIFS(F$1:F722,D$1:D722,D723))</f>
        <v/>
      </c>
      <c r="H723" s="12" t="str">
        <f t="shared" si="23"/>
        <v/>
      </c>
      <c r="I723" s="5"/>
      <c r="J723" s="5"/>
      <c r="K723" s="11" t="str">
        <f>IF(D723="","",IF(ISNA(MATCH(D723,'Master Produk'!$A$2:$A$101,0)),"SKU tidak ada di master",IF(AND(C723="Stok masuk",F723&lt;0),"Stok masuk harus +",IF(AND(C723="Stok keluar",F723&gt;0),"Stok keluar harus -",IF(H723&lt;0,"Stok negatif","OK")))))</f>
        <v/>
      </c>
    </row>
    <row r="724" spans="1:11" x14ac:dyDescent="0.3">
      <c r="A724" s="9" t="str">
        <f t="shared" si="22"/>
        <v/>
      </c>
      <c r="B724" s="10"/>
      <c r="C724" s="5"/>
      <c r="D724" s="5"/>
      <c r="E724" s="11" t="str">
        <f>IF(D724="","",IFERROR(INDEX('Master Produk'!$B$2:$B$101,MATCH(D724,'Master Produk'!$A$2:$A$101,0)),"SKU tidak ada di master"))</f>
        <v/>
      </c>
      <c r="F724" s="6"/>
      <c r="G724" s="12" t="str">
        <f>IF(D724="","",IFERROR(INDEX('Master Produk'!$C$2:$C$101,MATCH(D724,'Master Produk'!$A$2:$A$101,0)),0)+SUMIFS(F$1:F723,D$1:D723,D724))</f>
        <v/>
      </c>
      <c r="H724" s="12" t="str">
        <f t="shared" si="23"/>
        <v/>
      </c>
      <c r="I724" s="5"/>
      <c r="J724" s="5"/>
      <c r="K724" s="11" t="str">
        <f>IF(D724="","",IF(ISNA(MATCH(D724,'Master Produk'!$A$2:$A$101,0)),"SKU tidak ada di master",IF(AND(C724="Stok masuk",F724&lt;0),"Stok masuk harus +",IF(AND(C724="Stok keluar",F724&gt;0),"Stok keluar harus -",IF(H724&lt;0,"Stok negatif","OK")))))</f>
        <v/>
      </c>
    </row>
    <row r="725" spans="1:11" x14ac:dyDescent="0.3">
      <c r="A725" s="9" t="str">
        <f t="shared" si="22"/>
        <v/>
      </c>
      <c r="B725" s="10"/>
      <c r="C725" s="5"/>
      <c r="D725" s="5"/>
      <c r="E725" s="11" t="str">
        <f>IF(D725="","",IFERROR(INDEX('Master Produk'!$B$2:$B$101,MATCH(D725,'Master Produk'!$A$2:$A$101,0)),"SKU tidak ada di master"))</f>
        <v/>
      </c>
      <c r="F725" s="6"/>
      <c r="G725" s="12" t="str">
        <f>IF(D725="","",IFERROR(INDEX('Master Produk'!$C$2:$C$101,MATCH(D725,'Master Produk'!$A$2:$A$101,0)),0)+SUMIFS(F$1:F724,D$1:D724,D725))</f>
        <v/>
      </c>
      <c r="H725" s="12" t="str">
        <f t="shared" si="23"/>
        <v/>
      </c>
      <c r="I725" s="5"/>
      <c r="J725" s="5"/>
      <c r="K725" s="11" t="str">
        <f>IF(D725="","",IF(ISNA(MATCH(D725,'Master Produk'!$A$2:$A$101,0)),"SKU tidak ada di master",IF(AND(C725="Stok masuk",F725&lt;0),"Stok masuk harus +",IF(AND(C725="Stok keluar",F725&gt;0),"Stok keluar harus -",IF(H725&lt;0,"Stok negatif","OK")))))</f>
        <v/>
      </c>
    </row>
    <row r="726" spans="1:11" x14ac:dyDescent="0.3">
      <c r="A726" s="9" t="str">
        <f t="shared" si="22"/>
        <v/>
      </c>
      <c r="B726" s="10"/>
      <c r="C726" s="5"/>
      <c r="D726" s="5"/>
      <c r="E726" s="11" t="str">
        <f>IF(D726="","",IFERROR(INDEX('Master Produk'!$B$2:$B$101,MATCH(D726,'Master Produk'!$A$2:$A$101,0)),"SKU tidak ada di master"))</f>
        <v/>
      </c>
      <c r="F726" s="6"/>
      <c r="G726" s="12" t="str">
        <f>IF(D726="","",IFERROR(INDEX('Master Produk'!$C$2:$C$101,MATCH(D726,'Master Produk'!$A$2:$A$101,0)),0)+SUMIFS(F$1:F725,D$1:D725,D726))</f>
        <v/>
      </c>
      <c r="H726" s="12" t="str">
        <f t="shared" si="23"/>
        <v/>
      </c>
      <c r="I726" s="5"/>
      <c r="J726" s="5"/>
      <c r="K726" s="11" t="str">
        <f>IF(D726="","",IF(ISNA(MATCH(D726,'Master Produk'!$A$2:$A$101,0)),"SKU tidak ada di master",IF(AND(C726="Stok masuk",F726&lt;0),"Stok masuk harus +",IF(AND(C726="Stok keluar",F726&gt;0),"Stok keluar harus -",IF(H726&lt;0,"Stok negatif","OK")))))</f>
        <v/>
      </c>
    </row>
    <row r="727" spans="1:11" x14ac:dyDescent="0.3">
      <c r="A727" s="9" t="str">
        <f t="shared" si="22"/>
        <v/>
      </c>
      <c r="B727" s="10"/>
      <c r="C727" s="5"/>
      <c r="D727" s="5"/>
      <c r="E727" s="11" t="str">
        <f>IF(D727="","",IFERROR(INDEX('Master Produk'!$B$2:$B$101,MATCH(D727,'Master Produk'!$A$2:$A$101,0)),"SKU tidak ada di master"))</f>
        <v/>
      </c>
      <c r="F727" s="6"/>
      <c r="G727" s="12" t="str">
        <f>IF(D727="","",IFERROR(INDEX('Master Produk'!$C$2:$C$101,MATCH(D727,'Master Produk'!$A$2:$A$101,0)),0)+SUMIFS(F$1:F726,D$1:D726,D727))</f>
        <v/>
      </c>
      <c r="H727" s="12" t="str">
        <f t="shared" si="23"/>
        <v/>
      </c>
      <c r="I727" s="5"/>
      <c r="J727" s="5"/>
      <c r="K727" s="11" t="str">
        <f>IF(D727="","",IF(ISNA(MATCH(D727,'Master Produk'!$A$2:$A$101,0)),"SKU tidak ada di master",IF(AND(C727="Stok masuk",F727&lt;0),"Stok masuk harus +",IF(AND(C727="Stok keluar",F727&gt;0),"Stok keluar harus -",IF(H727&lt;0,"Stok negatif","OK")))))</f>
        <v/>
      </c>
    </row>
    <row r="728" spans="1:11" x14ac:dyDescent="0.3">
      <c r="A728" s="9" t="str">
        <f t="shared" si="22"/>
        <v/>
      </c>
      <c r="B728" s="10"/>
      <c r="C728" s="5"/>
      <c r="D728" s="5"/>
      <c r="E728" s="11" t="str">
        <f>IF(D728="","",IFERROR(INDEX('Master Produk'!$B$2:$B$101,MATCH(D728,'Master Produk'!$A$2:$A$101,0)),"SKU tidak ada di master"))</f>
        <v/>
      </c>
      <c r="F728" s="6"/>
      <c r="G728" s="12" t="str">
        <f>IF(D728="","",IFERROR(INDEX('Master Produk'!$C$2:$C$101,MATCH(D728,'Master Produk'!$A$2:$A$101,0)),0)+SUMIFS(F$1:F727,D$1:D727,D728))</f>
        <v/>
      </c>
      <c r="H728" s="12" t="str">
        <f t="shared" si="23"/>
        <v/>
      </c>
      <c r="I728" s="5"/>
      <c r="J728" s="5"/>
      <c r="K728" s="11" t="str">
        <f>IF(D728="","",IF(ISNA(MATCH(D728,'Master Produk'!$A$2:$A$101,0)),"SKU tidak ada di master",IF(AND(C728="Stok masuk",F728&lt;0),"Stok masuk harus +",IF(AND(C728="Stok keluar",F728&gt;0),"Stok keluar harus -",IF(H728&lt;0,"Stok negatif","OK")))))</f>
        <v/>
      </c>
    </row>
    <row r="729" spans="1:11" x14ac:dyDescent="0.3">
      <c r="A729" s="9" t="str">
        <f t="shared" si="22"/>
        <v/>
      </c>
      <c r="B729" s="10"/>
      <c r="C729" s="5"/>
      <c r="D729" s="5"/>
      <c r="E729" s="11" t="str">
        <f>IF(D729="","",IFERROR(INDEX('Master Produk'!$B$2:$B$101,MATCH(D729,'Master Produk'!$A$2:$A$101,0)),"SKU tidak ada di master"))</f>
        <v/>
      </c>
      <c r="F729" s="6"/>
      <c r="G729" s="12" t="str">
        <f>IF(D729="","",IFERROR(INDEX('Master Produk'!$C$2:$C$101,MATCH(D729,'Master Produk'!$A$2:$A$101,0)),0)+SUMIFS(F$1:F728,D$1:D728,D729))</f>
        <v/>
      </c>
      <c r="H729" s="12" t="str">
        <f t="shared" si="23"/>
        <v/>
      </c>
      <c r="I729" s="5"/>
      <c r="J729" s="5"/>
      <c r="K729" s="11" t="str">
        <f>IF(D729="","",IF(ISNA(MATCH(D729,'Master Produk'!$A$2:$A$101,0)),"SKU tidak ada di master",IF(AND(C729="Stok masuk",F729&lt;0),"Stok masuk harus +",IF(AND(C729="Stok keluar",F729&gt;0),"Stok keluar harus -",IF(H729&lt;0,"Stok negatif","OK")))))</f>
        <v/>
      </c>
    </row>
    <row r="730" spans="1:11" x14ac:dyDescent="0.3">
      <c r="A730" s="9" t="str">
        <f t="shared" si="22"/>
        <v/>
      </c>
      <c r="B730" s="10"/>
      <c r="C730" s="5"/>
      <c r="D730" s="5"/>
      <c r="E730" s="11" t="str">
        <f>IF(D730="","",IFERROR(INDEX('Master Produk'!$B$2:$B$101,MATCH(D730,'Master Produk'!$A$2:$A$101,0)),"SKU tidak ada di master"))</f>
        <v/>
      </c>
      <c r="F730" s="6"/>
      <c r="G730" s="12" t="str">
        <f>IF(D730="","",IFERROR(INDEX('Master Produk'!$C$2:$C$101,MATCH(D730,'Master Produk'!$A$2:$A$101,0)),0)+SUMIFS(F$1:F729,D$1:D729,D730))</f>
        <v/>
      </c>
      <c r="H730" s="12" t="str">
        <f t="shared" si="23"/>
        <v/>
      </c>
      <c r="I730" s="5"/>
      <c r="J730" s="5"/>
      <c r="K730" s="11" t="str">
        <f>IF(D730="","",IF(ISNA(MATCH(D730,'Master Produk'!$A$2:$A$101,0)),"SKU tidak ada di master",IF(AND(C730="Stok masuk",F730&lt;0),"Stok masuk harus +",IF(AND(C730="Stok keluar",F730&gt;0),"Stok keluar harus -",IF(H730&lt;0,"Stok negatif","OK")))))</f>
        <v/>
      </c>
    </row>
    <row r="731" spans="1:11" x14ac:dyDescent="0.3">
      <c r="A731" s="9" t="str">
        <f t="shared" si="22"/>
        <v/>
      </c>
      <c r="B731" s="10"/>
      <c r="C731" s="5"/>
      <c r="D731" s="5"/>
      <c r="E731" s="11" t="str">
        <f>IF(D731="","",IFERROR(INDEX('Master Produk'!$B$2:$B$101,MATCH(D731,'Master Produk'!$A$2:$A$101,0)),"SKU tidak ada di master"))</f>
        <v/>
      </c>
      <c r="F731" s="6"/>
      <c r="G731" s="12" t="str">
        <f>IF(D731="","",IFERROR(INDEX('Master Produk'!$C$2:$C$101,MATCH(D731,'Master Produk'!$A$2:$A$101,0)),0)+SUMIFS(F$1:F730,D$1:D730,D731))</f>
        <v/>
      </c>
      <c r="H731" s="12" t="str">
        <f t="shared" si="23"/>
        <v/>
      </c>
      <c r="I731" s="5"/>
      <c r="J731" s="5"/>
      <c r="K731" s="11" t="str">
        <f>IF(D731="","",IF(ISNA(MATCH(D731,'Master Produk'!$A$2:$A$101,0)),"SKU tidak ada di master",IF(AND(C731="Stok masuk",F731&lt;0),"Stok masuk harus +",IF(AND(C731="Stok keluar",F731&gt;0),"Stok keluar harus -",IF(H731&lt;0,"Stok negatif","OK")))))</f>
        <v/>
      </c>
    </row>
    <row r="732" spans="1:11" x14ac:dyDescent="0.3">
      <c r="A732" s="9" t="str">
        <f t="shared" si="22"/>
        <v/>
      </c>
      <c r="B732" s="10"/>
      <c r="C732" s="5"/>
      <c r="D732" s="5"/>
      <c r="E732" s="11" t="str">
        <f>IF(D732="","",IFERROR(INDEX('Master Produk'!$B$2:$B$101,MATCH(D732,'Master Produk'!$A$2:$A$101,0)),"SKU tidak ada di master"))</f>
        <v/>
      </c>
      <c r="F732" s="6"/>
      <c r="G732" s="12" t="str">
        <f>IF(D732="","",IFERROR(INDEX('Master Produk'!$C$2:$C$101,MATCH(D732,'Master Produk'!$A$2:$A$101,0)),0)+SUMIFS(F$1:F731,D$1:D731,D732))</f>
        <v/>
      </c>
      <c r="H732" s="12" t="str">
        <f t="shared" si="23"/>
        <v/>
      </c>
      <c r="I732" s="5"/>
      <c r="J732" s="5"/>
      <c r="K732" s="11" t="str">
        <f>IF(D732="","",IF(ISNA(MATCH(D732,'Master Produk'!$A$2:$A$101,0)),"SKU tidak ada di master",IF(AND(C732="Stok masuk",F732&lt;0),"Stok masuk harus +",IF(AND(C732="Stok keluar",F732&gt;0),"Stok keluar harus -",IF(H732&lt;0,"Stok negatif","OK")))))</f>
        <v/>
      </c>
    </row>
    <row r="733" spans="1:11" x14ac:dyDescent="0.3">
      <c r="A733" s="9" t="str">
        <f t="shared" si="22"/>
        <v/>
      </c>
      <c r="B733" s="10"/>
      <c r="C733" s="5"/>
      <c r="D733" s="5"/>
      <c r="E733" s="11" t="str">
        <f>IF(D733="","",IFERROR(INDEX('Master Produk'!$B$2:$B$101,MATCH(D733,'Master Produk'!$A$2:$A$101,0)),"SKU tidak ada di master"))</f>
        <v/>
      </c>
      <c r="F733" s="6"/>
      <c r="G733" s="12" t="str">
        <f>IF(D733="","",IFERROR(INDEX('Master Produk'!$C$2:$C$101,MATCH(D733,'Master Produk'!$A$2:$A$101,0)),0)+SUMIFS(F$1:F732,D$1:D732,D733))</f>
        <v/>
      </c>
      <c r="H733" s="12" t="str">
        <f t="shared" si="23"/>
        <v/>
      </c>
      <c r="I733" s="5"/>
      <c r="J733" s="5"/>
      <c r="K733" s="11" t="str">
        <f>IF(D733="","",IF(ISNA(MATCH(D733,'Master Produk'!$A$2:$A$101,0)),"SKU tidak ada di master",IF(AND(C733="Stok masuk",F733&lt;0),"Stok masuk harus +",IF(AND(C733="Stok keluar",F733&gt;0),"Stok keluar harus -",IF(H733&lt;0,"Stok negatif","OK")))))</f>
        <v/>
      </c>
    </row>
    <row r="734" spans="1:11" x14ac:dyDescent="0.3">
      <c r="A734" s="9" t="str">
        <f t="shared" si="22"/>
        <v/>
      </c>
      <c r="B734" s="10"/>
      <c r="C734" s="5"/>
      <c r="D734" s="5"/>
      <c r="E734" s="11" t="str">
        <f>IF(D734="","",IFERROR(INDEX('Master Produk'!$B$2:$B$101,MATCH(D734,'Master Produk'!$A$2:$A$101,0)),"SKU tidak ada di master"))</f>
        <v/>
      </c>
      <c r="F734" s="6"/>
      <c r="G734" s="12" t="str">
        <f>IF(D734="","",IFERROR(INDEX('Master Produk'!$C$2:$C$101,MATCH(D734,'Master Produk'!$A$2:$A$101,0)),0)+SUMIFS(F$1:F733,D$1:D733,D734))</f>
        <v/>
      </c>
      <c r="H734" s="12" t="str">
        <f t="shared" si="23"/>
        <v/>
      </c>
      <c r="I734" s="5"/>
      <c r="J734" s="5"/>
      <c r="K734" s="11" t="str">
        <f>IF(D734="","",IF(ISNA(MATCH(D734,'Master Produk'!$A$2:$A$101,0)),"SKU tidak ada di master",IF(AND(C734="Stok masuk",F734&lt;0),"Stok masuk harus +",IF(AND(C734="Stok keluar",F734&gt;0),"Stok keluar harus -",IF(H734&lt;0,"Stok negatif","OK")))))</f>
        <v/>
      </c>
    </row>
    <row r="735" spans="1:11" x14ac:dyDescent="0.3">
      <c r="A735" s="9" t="str">
        <f t="shared" si="22"/>
        <v/>
      </c>
      <c r="B735" s="10"/>
      <c r="C735" s="5"/>
      <c r="D735" s="5"/>
      <c r="E735" s="11" t="str">
        <f>IF(D735="","",IFERROR(INDEX('Master Produk'!$B$2:$B$101,MATCH(D735,'Master Produk'!$A$2:$A$101,0)),"SKU tidak ada di master"))</f>
        <v/>
      </c>
      <c r="F735" s="6"/>
      <c r="G735" s="12" t="str">
        <f>IF(D735="","",IFERROR(INDEX('Master Produk'!$C$2:$C$101,MATCH(D735,'Master Produk'!$A$2:$A$101,0)),0)+SUMIFS(F$1:F734,D$1:D734,D735))</f>
        <v/>
      </c>
      <c r="H735" s="12" t="str">
        <f t="shared" si="23"/>
        <v/>
      </c>
      <c r="I735" s="5"/>
      <c r="J735" s="5"/>
      <c r="K735" s="11" t="str">
        <f>IF(D735="","",IF(ISNA(MATCH(D735,'Master Produk'!$A$2:$A$101,0)),"SKU tidak ada di master",IF(AND(C735="Stok masuk",F735&lt;0),"Stok masuk harus +",IF(AND(C735="Stok keluar",F735&gt;0),"Stok keluar harus -",IF(H735&lt;0,"Stok negatif","OK")))))</f>
        <v/>
      </c>
    </row>
    <row r="736" spans="1:11" x14ac:dyDescent="0.3">
      <c r="A736" s="9" t="str">
        <f t="shared" si="22"/>
        <v/>
      </c>
      <c r="B736" s="10"/>
      <c r="C736" s="5"/>
      <c r="D736" s="5"/>
      <c r="E736" s="11" t="str">
        <f>IF(D736="","",IFERROR(INDEX('Master Produk'!$B$2:$B$101,MATCH(D736,'Master Produk'!$A$2:$A$101,0)),"SKU tidak ada di master"))</f>
        <v/>
      </c>
      <c r="F736" s="6"/>
      <c r="G736" s="12" t="str">
        <f>IF(D736="","",IFERROR(INDEX('Master Produk'!$C$2:$C$101,MATCH(D736,'Master Produk'!$A$2:$A$101,0)),0)+SUMIFS(F$1:F735,D$1:D735,D736))</f>
        <v/>
      </c>
      <c r="H736" s="12" t="str">
        <f t="shared" si="23"/>
        <v/>
      </c>
      <c r="I736" s="5"/>
      <c r="J736" s="5"/>
      <c r="K736" s="11" t="str">
        <f>IF(D736="","",IF(ISNA(MATCH(D736,'Master Produk'!$A$2:$A$101,0)),"SKU tidak ada di master",IF(AND(C736="Stok masuk",F736&lt;0),"Stok masuk harus +",IF(AND(C736="Stok keluar",F736&gt;0),"Stok keluar harus -",IF(H736&lt;0,"Stok negatif","OK")))))</f>
        <v/>
      </c>
    </row>
    <row r="737" spans="1:11" x14ac:dyDescent="0.3">
      <c r="A737" s="9" t="str">
        <f t="shared" si="22"/>
        <v/>
      </c>
      <c r="B737" s="10"/>
      <c r="C737" s="5"/>
      <c r="D737" s="5"/>
      <c r="E737" s="11" t="str">
        <f>IF(D737="","",IFERROR(INDEX('Master Produk'!$B$2:$B$101,MATCH(D737,'Master Produk'!$A$2:$A$101,0)),"SKU tidak ada di master"))</f>
        <v/>
      </c>
      <c r="F737" s="6"/>
      <c r="G737" s="12" t="str">
        <f>IF(D737="","",IFERROR(INDEX('Master Produk'!$C$2:$C$101,MATCH(D737,'Master Produk'!$A$2:$A$101,0)),0)+SUMIFS(F$1:F736,D$1:D736,D737))</f>
        <v/>
      </c>
      <c r="H737" s="12" t="str">
        <f t="shared" si="23"/>
        <v/>
      </c>
      <c r="I737" s="5"/>
      <c r="J737" s="5"/>
      <c r="K737" s="11" t="str">
        <f>IF(D737="","",IF(ISNA(MATCH(D737,'Master Produk'!$A$2:$A$101,0)),"SKU tidak ada di master",IF(AND(C737="Stok masuk",F737&lt;0),"Stok masuk harus +",IF(AND(C737="Stok keluar",F737&gt;0),"Stok keluar harus -",IF(H737&lt;0,"Stok negatif","OK")))))</f>
        <v/>
      </c>
    </row>
    <row r="738" spans="1:11" x14ac:dyDescent="0.3">
      <c r="A738" s="9" t="str">
        <f t="shared" si="22"/>
        <v/>
      </c>
      <c r="B738" s="10"/>
      <c r="C738" s="5"/>
      <c r="D738" s="5"/>
      <c r="E738" s="11" t="str">
        <f>IF(D738="","",IFERROR(INDEX('Master Produk'!$B$2:$B$101,MATCH(D738,'Master Produk'!$A$2:$A$101,0)),"SKU tidak ada di master"))</f>
        <v/>
      </c>
      <c r="F738" s="6"/>
      <c r="G738" s="12" t="str">
        <f>IF(D738="","",IFERROR(INDEX('Master Produk'!$C$2:$C$101,MATCH(D738,'Master Produk'!$A$2:$A$101,0)),0)+SUMIFS(F$1:F737,D$1:D737,D738))</f>
        <v/>
      </c>
      <c r="H738" s="12" t="str">
        <f t="shared" si="23"/>
        <v/>
      </c>
      <c r="I738" s="5"/>
      <c r="J738" s="5"/>
      <c r="K738" s="11" t="str">
        <f>IF(D738="","",IF(ISNA(MATCH(D738,'Master Produk'!$A$2:$A$101,0)),"SKU tidak ada di master",IF(AND(C738="Stok masuk",F738&lt;0),"Stok masuk harus +",IF(AND(C738="Stok keluar",F738&gt;0),"Stok keluar harus -",IF(H738&lt;0,"Stok negatif","OK")))))</f>
        <v/>
      </c>
    </row>
    <row r="739" spans="1:11" x14ac:dyDescent="0.3">
      <c r="A739" s="9" t="str">
        <f t="shared" si="22"/>
        <v/>
      </c>
      <c r="B739" s="10"/>
      <c r="C739" s="5"/>
      <c r="D739" s="5"/>
      <c r="E739" s="11" t="str">
        <f>IF(D739="","",IFERROR(INDEX('Master Produk'!$B$2:$B$101,MATCH(D739,'Master Produk'!$A$2:$A$101,0)),"SKU tidak ada di master"))</f>
        <v/>
      </c>
      <c r="F739" s="6"/>
      <c r="G739" s="12" t="str">
        <f>IF(D739="","",IFERROR(INDEX('Master Produk'!$C$2:$C$101,MATCH(D739,'Master Produk'!$A$2:$A$101,0)),0)+SUMIFS(F$1:F738,D$1:D738,D739))</f>
        <v/>
      </c>
      <c r="H739" s="12" t="str">
        <f t="shared" si="23"/>
        <v/>
      </c>
      <c r="I739" s="5"/>
      <c r="J739" s="5"/>
      <c r="K739" s="11" t="str">
        <f>IF(D739="","",IF(ISNA(MATCH(D739,'Master Produk'!$A$2:$A$101,0)),"SKU tidak ada di master",IF(AND(C739="Stok masuk",F739&lt;0),"Stok masuk harus +",IF(AND(C739="Stok keluar",F739&gt;0),"Stok keluar harus -",IF(H739&lt;0,"Stok negatif","OK")))))</f>
        <v/>
      </c>
    </row>
    <row r="740" spans="1:11" x14ac:dyDescent="0.3">
      <c r="A740" s="9" t="str">
        <f t="shared" si="22"/>
        <v/>
      </c>
      <c r="B740" s="10"/>
      <c r="C740" s="5"/>
      <c r="D740" s="5"/>
      <c r="E740" s="11" t="str">
        <f>IF(D740="","",IFERROR(INDEX('Master Produk'!$B$2:$B$101,MATCH(D740,'Master Produk'!$A$2:$A$101,0)),"SKU tidak ada di master"))</f>
        <v/>
      </c>
      <c r="F740" s="6"/>
      <c r="G740" s="12" t="str">
        <f>IF(D740="","",IFERROR(INDEX('Master Produk'!$C$2:$C$101,MATCH(D740,'Master Produk'!$A$2:$A$101,0)),0)+SUMIFS(F$1:F739,D$1:D739,D740))</f>
        <v/>
      </c>
      <c r="H740" s="12" t="str">
        <f t="shared" si="23"/>
        <v/>
      </c>
      <c r="I740" s="5"/>
      <c r="J740" s="5"/>
      <c r="K740" s="11" t="str">
        <f>IF(D740="","",IF(ISNA(MATCH(D740,'Master Produk'!$A$2:$A$101,0)),"SKU tidak ada di master",IF(AND(C740="Stok masuk",F740&lt;0),"Stok masuk harus +",IF(AND(C740="Stok keluar",F740&gt;0),"Stok keluar harus -",IF(H740&lt;0,"Stok negatif","OK")))))</f>
        <v/>
      </c>
    </row>
    <row r="741" spans="1:11" x14ac:dyDescent="0.3">
      <c r="A741" s="9" t="str">
        <f t="shared" si="22"/>
        <v/>
      </c>
      <c r="B741" s="10"/>
      <c r="C741" s="5"/>
      <c r="D741" s="5"/>
      <c r="E741" s="11" t="str">
        <f>IF(D741="","",IFERROR(INDEX('Master Produk'!$B$2:$B$101,MATCH(D741,'Master Produk'!$A$2:$A$101,0)),"SKU tidak ada di master"))</f>
        <v/>
      </c>
      <c r="F741" s="6"/>
      <c r="G741" s="12" t="str">
        <f>IF(D741="","",IFERROR(INDEX('Master Produk'!$C$2:$C$101,MATCH(D741,'Master Produk'!$A$2:$A$101,0)),0)+SUMIFS(F$1:F740,D$1:D740,D741))</f>
        <v/>
      </c>
      <c r="H741" s="12" t="str">
        <f t="shared" si="23"/>
        <v/>
      </c>
      <c r="I741" s="5"/>
      <c r="J741" s="5"/>
      <c r="K741" s="11" t="str">
        <f>IF(D741="","",IF(ISNA(MATCH(D741,'Master Produk'!$A$2:$A$101,0)),"SKU tidak ada di master",IF(AND(C741="Stok masuk",F741&lt;0),"Stok masuk harus +",IF(AND(C741="Stok keluar",F741&gt;0),"Stok keluar harus -",IF(H741&lt;0,"Stok negatif","OK")))))</f>
        <v/>
      </c>
    </row>
    <row r="742" spans="1:11" x14ac:dyDescent="0.3">
      <c r="A742" s="9" t="str">
        <f t="shared" si="22"/>
        <v/>
      </c>
      <c r="B742" s="10"/>
      <c r="C742" s="5"/>
      <c r="D742" s="5"/>
      <c r="E742" s="11" t="str">
        <f>IF(D742="","",IFERROR(INDEX('Master Produk'!$B$2:$B$101,MATCH(D742,'Master Produk'!$A$2:$A$101,0)),"SKU tidak ada di master"))</f>
        <v/>
      </c>
      <c r="F742" s="6"/>
      <c r="G742" s="12" t="str">
        <f>IF(D742="","",IFERROR(INDEX('Master Produk'!$C$2:$C$101,MATCH(D742,'Master Produk'!$A$2:$A$101,0)),0)+SUMIFS(F$1:F741,D$1:D741,D742))</f>
        <v/>
      </c>
      <c r="H742" s="12" t="str">
        <f t="shared" si="23"/>
        <v/>
      </c>
      <c r="I742" s="5"/>
      <c r="J742" s="5"/>
      <c r="K742" s="11" t="str">
        <f>IF(D742="","",IF(ISNA(MATCH(D742,'Master Produk'!$A$2:$A$101,0)),"SKU tidak ada di master",IF(AND(C742="Stok masuk",F742&lt;0),"Stok masuk harus +",IF(AND(C742="Stok keluar",F742&gt;0),"Stok keluar harus -",IF(H742&lt;0,"Stok negatif","OK")))))</f>
        <v/>
      </c>
    </row>
    <row r="743" spans="1:11" x14ac:dyDescent="0.3">
      <c r="A743" s="9" t="str">
        <f t="shared" si="22"/>
        <v/>
      </c>
      <c r="B743" s="10"/>
      <c r="C743" s="5"/>
      <c r="D743" s="5"/>
      <c r="E743" s="11" t="str">
        <f>IF(D743="","",IFERROR(INDEX('Master Produk'!$B$2:$B$101,MATCH(D743,'Master Produk'!$A$2:$A$101,0)),"SKU tidak ada di master"))</f>
        <v/>
      </c>
      <c r="F743" s="6"/>
      <c r="G743" s="12" t="str">
        <f>IF(D743="","",IFERROR(INDEX('Master Produk'!$C$2:$C$101,MATCH(D743,'Master Produk'!$A$2:$A$101,0)),0)+SUMIFS(F$1:F742,D$1:D742,D743))</f>
        <v/>
      </c>
      <c r="H743" s="12" t="str">
        <f t="shared" si="23"/>
        <v/>
      </c>
      <c r="I743" s="5"/>
      <c r="J743" s="5"/>
      <c r="K743" s="11" t="str">
        <f>IF(D743="","",IF(ISNA(MATCH(D743,'Master Produk'!$A$2:$A$101,0)),"SKU tidak ada di master",IF(AND(C743="Stok masuk",F743&lt;0),"Stok masuk harus +",IF(AND(C743="Stok keluar",F743&gt;0),"Stok keluar harus -",IF(H743&lt;0,"Stok negatif","OK")))))</f>
        <v/>
      </c>
    </row>
    <row r="744" spans="1:11" x14ac:dyDescent="0.3">
      <c r="A744" s="9" t="str">
        <f t="shared" si="22"/>
        <v/>
      </c>
      <c r="B744" s="10"/>
      <c r="C744" s="5"/>
      <c r="D744" s="5"/>
      <c r="E744" s="11" t="str">
        <f>IF(D744="","",IFERROR(INDEX('Master Produk'!$B$2:$B$101,MATCH(D744,'Master Produk'!$A$2:$A$101,0)),"SKU tidak ada di master"))</f>
        <v/>
      </c>
      <c r="F744" s="6"/>
      <c r="G744" s="12" t="str">
        <f>IF(D744="","",IFERROR(INDEX('Master Produk'!$C$2:$C$101,MATCH(D744,'Master Produk'!$A$2:$A$101,0)),0)+SUMIFS(F$1:F743,D$1:D743,D744))</f>
        <v/>
      </c>
      <c r="H744" s="12" t="str">
        <f t="shared" si="23"/>
        <v/>
      </c>
      <c r="I744" s="5"/>
      <c r="J744" s="5"/>
      <c r="K744" s="11" t="str">
        <f>IF(D744="","",IF(ISNA(MATCH(D744,'Master Produk'!$A$2:$A$101,0)),"SKU tidak ada di master",IF(AND(C744="Stok masuk",F744&lt;0),"Stok masuk harus +",IF(AND(C744="Stok keluar",F744&gt;0),"Stok keluar harus -",IF(H744&lt;0,"Stok negatif","OK")))))</f>
        <v/>
      </c>
    </row>
    <row r="745" spans="1:11" x14ac:dyDescent="0.3">
      <c r="A745" s="9" t="str">
        <f t="shared" si="22"/>
        <v/>
      </c>
      <c r="B745" s="10"/>
      <c r="C745" s="5"/>
      <c r="D745" s="5"/>
      <c r="E745" s="11" t="str">
        <f>IF(D745="","",IFERROR(INDEX('Master Produk'!$B$2:$B$101,MATCH(D745,'Master Produk'!$A$2:$A$101,0)),"SKU tidak ada di master"))</f>
        <v/>
      </c>
      <c r="F745" s="6"/>
      <c r="G745" s="12" t="str">
        <f>IF(D745="","",IFERROR(INDEX('Master Produk'!$C$2:$C$101,MATCH(D745,'Master Produk'!$A$2:$A$101,0)),0)+SUMIFS(F$1:F744,D$1:D744,D745))</f>
        <v/>
      </c>
      <c r="H745" s="12" t="str">
        <f t="shared" si="23"/>
        <v/>
      </c>
      <c r="I745" s="5"/>
      <c r="J745" s="5"/>
      <c r="K745" s="11" t="str">
        <f>IF(D745="","",IF(ISNA(MATCH(D745,'Master Produk'!$A$2:$A$101,0)),"SKU tidak ada di master",IF(AND(C745="Stok masuk",F745&lt;0),"Stok masuk harus +",IF(AND(C745="Stok keluar",F745&gt;0),"Stok keluar harus -",IF(H745&lt;0,"Stok negatif","OK")))))</f>
        <v/>
      </c>
    </row>
    <row r="746" spans="1:11" x14ac:dyDescent="0.3">
      <c r="A746" s="9" t="str">
        <f t="shared" si="22"/>
        <v/>
      </c>
      <c r="B746" s="10"/>
      <c r="C746" s="5"/>
      <c r="D746" s="5"/>
      <c r="E746" s="11" t="str">
        <f>IF(D746="","",IFERROR(INDEX('Master Produk'!$B$2:$B$101,MATCH(D746,'Master Produk'!$A$2:$A$101,0)),"SKU tidak ada di master"))</f>
        <v/>
      </c>
      <c r="F746" s="6"/>
      <c r="G746" s="12" t="str">
        <f>IF(D746="","",IFERROR(INDEX('Master Produk'!$C$2:$C$101,MATCH(D746,'Master Produk'!$A$2:$A$101,0)),0)+SUMIFS(F$1:F745,D$1:D745,D746))</f>
        <v/>
      </c>
      <c r="H746" s="12" t="str">
        <f t="shared" si="23"/>
        <v/>
      </c>
      <c r="I746" s="5"/>
      <c r="J746" s="5"/>
      <c r="K746" s="11" t="str">
        <f>IF(D746="","",IF(ISNA(MATCH(D746,'Master Produk'!$A$2:$A$101,0)),"SKU tidak ada di master",IF(AND(C746="Stok masuk",F746&lt;0),"Stok masuk harus +",IF(AND(C746="Stok keluar",F746&gt;0),"Stok keluar harus -",IF(H746&lt;0,"Stok negatif","OK")))))</f>
        <v/>
      </c>
    </row>
    <row r="747" spans="1:11" x14ac:dyDescent="0.3">
      <c r="A747" s="9" t="str">
        <f t="shared" si="22"/>
        <v/>
      </c>
      <c r="B747" s="10"/>
      <c r="C747" s="5"/>
      <c r="D747" s="5"/>
      <c r="E747" s="11" t="str">
        <f>IF(D747="","",IFERROR(INDEX('Master Produk'!$B$2:$B$101,MATCH(D747,'Master Produk'!$A$2:$A$101,0)),"SKU tidak ada di master"))</f>
        <v/>
      </c>
      <c r="F747" s="6"/>
      <c r="G747" s="12" t="str">
        <f>IF(D747="","",IFERROR(INDEX('Master Produk'!$C$2:$C$101,MATCH(D747,'Master Produk'!$A$2:$A$101,0)),0)+SUMIFS(F$1:F746,D$1:D746,D747))</f>
        <v/>
      </c>
      <c r="H747" s="12" t="str">
        <f t="shared" si="23"/>
        <v/>
      </c>
      <c r="I747" s="5"/>
      <c r="J747" s="5"/>
      <c r="K747" s="11" t="str">
        <f>IF(D747="","",IF(ISNA(MATCH(D747,'Master Produk'!$A$2:$A$101,0)),"SKU tidak ada di master",IF(AND(C747="Stok masuk",F747&lt;0),"Stok masuk harus +",IF(AND(C747="Stok keluar",F747&gt;0),"Stok keluar harus -",IF(H747&lt;0,"Stok negatif","OK")))))</f>
        <v/>
      </c>
    </row>
    <row r="748" spans="1:11" x14ac:dyDescent="0.3">
      <c r="A748" s="9" t="str">
        <f t="shared" si="22"/>
        <v/>
      </c>
      <c r="B748" s="10"/>
      <c r="C748" s="5"/>
      <c r="D748" s="5"/>
      <c r="E748" s="11" t="str">
        <f>IF(D748="","",IFERROR(INDEX('Master Produk'!$B$2:$B$101,MATCH(D748,'Master Produk'!$A$2:$A$101,0)),"SKU tidak ada di master"))</f>
        <v/>
      </c>
      <c r="F748" s="6"/>
      <c r="G748" s="12" t="str">
        <f>IF(D748="","",IFERROR(INDEX('Master Produk'!$C$2:$C$101,MATCH(D748,'Master Produk'!$A$2:$A$101,0)),0)+SUMIFS(F$1:F747,D$1:D747,D748))</f>
        <v/>
      </c>
      <c r="H748" s="12" t="str">
        <f t="shared" si="23"/>
        <v/>
      </c>
      <c r="I748" s="5"/>
      <c r="J748" s="5"/>
      <c r="K748" s="11" t="str">
        <f>IF(D748="","",IF(ISNA(MATCH(D748,'Master Produk'!$A$2:$A$101,0)),"SKU tidak ada di master",IF(AND(C748="Stok masuk",F748&lt;0),"Stok masuk harus +",IF(AND(C748="Stok keluar",F748&gt;0),"Stok keluar harus -",IF(H748&lt;0,"Stok negatif","OK")))))</f>
        <v/>
      </c>
    </row>
    <row r="749" spans="1:11" x14ac:dyDescent="0.3">
      <c r="A749" s="9" t="str">
        <f t="shared" si="22"/>
        <v/>
      </c>
      <c r="B749" s="10"/>
      <c r="C749" s="5"/>
      <c r="D749" s="5"/>
      <c r="E749" s="11" t="str">
        <f>IF(D749="","",IFERROR(INDEX('Master Produk'!$B$2:$B$101,MATCH(D749,'Master Produk'!$A$2:$A$101,0)),"SKU tidak ada di master"))</f>
        <v/>
      </c>
      <c r="F749" s="6"/>
      <c r="G749" s="12" t="str">
        <f>IF(D749="","",IFERROR(INDEX('Master Produk'!$C$2:$C$101,MATCH(D749,'Master Produk'!$A$2:$A$101,0)),0)+SUMIFS(F$1:F748,D$1:D748,D749))</f>
        <v/>
      </c>
      <c r="H749" s="12" t="str">
        <f t="shared" si="23"/>
        <v/>
      </c>
      <c r="I749" s="5"/>
      <c r="J749" s="5"/>
      <c r="K749" s="11" t="str">
        <f>IF(D749="","",IF(ISNA(MATCH(D749,'Master Produk'!$A$2:$A$101,0)),"SKU tidak ada di master",IF(AND(C749="Stok masuk",F749&lt;0),"Stok masuk harus +",IF(AND(C749="Stok keluar",F749&gt;0),"Stok keluar harus -",IF(H749&lt;0,"Stok negatif","OK")))))</f>
        <v/>
      </c>
    </row>
    <row r="750" spans="1:11" x14ac:dyDescent="0.3">
      <c r="A750" s="9" t="str">
        <f t="shared" si="22"/>
        <v/>
      </c>
      <c r="B750" s="10"/>
      <c r="C750" s="5"/>
      <c r="D750" s="5"/>
      <c r="E750" s="11" t="str">
        <f>IF(D750="","",IFERROR(INDEX('Master Produk'!$B$2:$B$101,MATCH(D750,'Master Produk'!$A$2:$A$101,0)),"SKU tidak ada di master"))</f>
        <v/>
      </c>
      <c r="F750" s="6"/>
      <c r="G750" s="12" t="str">
        <f>IF(D750="","",IFERROR(INDEX('Master Produk'!$C$2:$C$101,MATCH(D750,'Master Produk'!$A$2:$A$101,0)),0)+SUMIFS(F$1:F749,D$1:D749,D750))</f>
        <v/>
      </c>
      <c r="H750" s="12" t="str">
        <f t="shared" si="23"/>
        <v/>
      </c>
      <c r="I750" s="5"/>
      <c r="J750" s="5"/>
      <c r="K750" s="11" t="str">
        <f>IF(D750="","",IF(ISNA(MATCH(D750,'Master Produk'!$A$2:$A$101,0)),"SKU tidak ada di master",IF(AND(C750="Stok masuk",F750&lt;0),"Stok masuk harus +",IF(AND(C750="Stok keluar",F750&gt;0),"Stok keluar harus -",IF(H750&lt;0,"Stok negatif","OK")))))</f>
        <v/>
      </c>
    </row>
    <row r="751" spans="1:11" x14ac:dyDescent="0.3">
      <c r="A751" s="9" t="str">
        <f t="shared" si="22"/>
        <v/>
      </c>
      <c r="B751" s="10"/>
      <c r="C751" s="5"/>
      <c r="D751" s="5"/>
      <c r="E751" s="11" t="str">
        <f>IF(D751="","",IFERROR(INDEX('Master Produk'!$B$2:$B$101,MATCH(D751,'Master Produk'!$A$2:$A$101,0)),"SKU tidak ada di master"))</f>
        <v/>
      </c>
      <c r="F751" s="6"/>
      <c r="G751" s="12" t="str">
        <f>IF(D751="","",IFERROR(INDEX('Master Produk'!$C$2:$C$101,MATCH(D751,'Master Produk'!$A$2:$A$101,0)),0)+SUMIFS(F$1:F750,D$1:D750,D751))</f>
        <v/>
      </c>
      <c r="H751" s="12" t="str">
        <f t="shared" si="23"/>
        <v/>
      </c>
      <c r="I751" s="5"/>
      <c r="J751" s="5"/>
      <c r="K751" s="11" t="str">
        <f>IF(D751="","",IF(ISNA(MATCH(D751,'Master Produk'!$A$2:$A$101,0)),"SKU tidak ada di master",IF(AND(C751="Stok masuk",F751&lt;0),"Stok masuk harus +",IF(AND(C751="Stok keluar",F751&gt;0),"Stok keluar harus -",IF(H751&lt;0,"Stok negatif","OK")))))</f>
        <v/>
      </c>
    </row>
    <row r="752" spans="1:11" x14ac:dyDescent="0.3">
      <c r="A752" s="9" t="str">
        <f t="shared" si="22"/>
        <v/>
      </c>
      <c r="B752" s="10"/>
      <c r="C752" s="5"/>
      <c r="D752" s="5"/>
      <c r="E752" s="11" t="str">
        <f>IF(D752="","",IFERROR(INDEX('Master Produk'!$B$2:$B$101,MATCH(D752,'Master Produk'!$A$2:$A$101,0)),"SKU tidak ada di master"))</f>
        <v/>
      </c>
      <c r="F752" s="6"/>
      <c r="G752" s="12" t="str">
        <f>IF(D752="","",IFERROR(INDEX('Master Produk'!$C$2:$C$101,MATCH(D752,'Master Produk'!$A$2:$A$101,0)),0)+SUMIFS(F$1:F751,D$1:D751,D752))</f>
        <v/>
      </c>
      <c r="H752" s="12" t="str">
        <f t="shared" si="23"/>
        <v/>
      </c>
      <c r="I752" s="5"/>
      <c r="J752" s="5"/>
      <c r="K752" s="11" t="str">
        <f>IF(D752="","",IF(ISNA(MATCH(D752,'Master Produk'!$A$2:$A$101,0)),"SKU tidak ada di master",IF(AND(C752="Stok masuk",F752&lt;0),"Stok masuk harus +",IF(AND(C752="Stok keluar",F752&gt;0),"Stok keluar harus -",IF(H752&lt;0,"Stok negatif","OK")))))</f>
        <v/>
      </c>
    </row>
    <row r="753" spans="1:11" x14ac:dyDescent="0.3">
      <c r="A753" s="9" t="str">
        <f t="shared" si="22"/>
        <v/>
      </c>
      <c r="B753" s="10"/>
      <c r="C753" s="5"/>
      <c r="D753" s="5"/>
      <c r="E753" s="11" t="str">
        <f>IF(D753="","",IFERROR(INDEX('Master Produk'!$B$2:$B$101,MATCH(D753,'Master Produk'!$A$2:$A$101,0)),"SKU tidak ada di master"))</f>
        <v/>
      </c>
      <c r="F753" s="6"/>
      <c r="G753" s="12" t="str">
        <f>IF(D753="","",IFERROR(INDEX('Master Produk'!$C$2:$C$101,MATCH(D753,'Master Produk'!$A$2:$A$101,0)),0)+SUMIFS(F$1:F752,D$1:D752,D753))</f>
        <v/>
      </c>
      <c r="H753" s="12" t="str">
        <f t="shared" si="23"/>
        <v/>
      </c>
      <c r="I753" s="5"/>
      <c r="J753" s="5"/>
      <c r="K753" s="11" t="str">
        <f>IF(D753="","",IF(ISNA(MATCH(D753,'Master Produk'!$A$2:$A$101,0)),"SKU tidak ada di master",IF(AND(C753="Stok masuk",F753&lt;0),"Stok masuk harus +",IF(AND(C753="Stok keluar",F753&gt;0),"Stok keluar harus -",IF(H753&lt;0,"Stok negatif","OK")))))</f>
        <v/>
      </c>
    </row>
    <row r="754" spans="1:11" x14ac:dyDescent="0.3">
      <c r="A754" s="9" t="str">
        <f t="shared" si="22"/>
        <v/>
      </c>
      <c r="B754" s="10"/>
      <c r="C754" s="5"/>
      <c r="D754" s="5"/>
      <c r="E754" s="11" t="str">
        <f>IF(D754="","",IFERROR(INDEX('Master Produk'!$B$2:$B$101,MATCH(D754,'Master Produk'!$A$2:$A$101,0)),"SKU tidak ada di master"))</f>
        <v/>
      </c>
      <c r="F754" s="6"/>
      <c r="G754" s="12" t="str">
        <f>IF(D754="","",IFERROR(INDEX('Master Produk'!$C$2:$C$101,MATCH(D754,'Master Produk'!$A$2:$A$101,0)),0)+SUMIFS(F$1:F753,D$1:D753,D754))</f>
        <v/>
      </c>
      <c r="H754" s="12" t="str">
        <f t="shared" si="23"/>
        <v/>
      </c>
      <c r="I754" s="5"/>
      <c r="J754" s="5"/>
      <c r="K754" s="11" t="str">
        <f>IF(D754="","",IF(ISNA(MATCH(D754,'Master Produk'!$A$2:$A$101,0)),"SKU tidak ada di master",IF(AND(C754="Stok masuk",F754&lt;0),"Stok masuk harus +",IF(AND(C754="Stok keluar",F754&gt;0),"Stok keluar harus -",IF(H754&lt;0,"Stok negatif","OK")))))</f>
        <v/>
      </c>
    </row>
    <row r="755" spans="1:11" x14ac:dyDescent="0.3">
      <c r="A755" s="9" t="str">
        <f t="shared" si="22"/>
        <v/>
      </c>
      <c r="B755" s="10"/>
      <c r="C755" s="5"/>
      <c r="D755" s="5"/>
      <c r="E755" s="11" t="str">
        <f>IF(D755="","",IFERROR(INDEX('Master Produk'!$B$2:$B$101,MATCH(D755,'Master Produk'!$A$2:$A$101,0)),"SKU tidak ada di master"))</f>
        <v/>
      </c>
      <c r="F755" s="6"/>
      <c r="G755" s="12" t="str">
        <f>IF(D755="","",IFERROR(INDEX('Master Produk'!$C$2:$C$101,MATCH(D755,'Master Produk'!$A$2:$A$101,0)),0)+SUMIFS(F$1:F754,D$1:D754,D755))</f>
        <v/>
      </c>
      <c r="H755" s="12" t="str">
        <f t="shared" si="23"/>
        <v/>
      </c>
      <c r="I755" s="5"/>
      <c r="J755" s="5"/>
      <c r="K755" s="11" t="str">
        <f>IF(D755="","",IF(ISNA(MATCH(D755,'Master Produk'!$A$2:$A$101,0)),"SKU tidak ada di master",IF(AND(C755="Stok masuk",F755&lt;0),"Stok masuk harus +",IF(AND(C755="Stok keluar",F755&gt;0),"Stok keluar harus -",IF(H755&lt;0,"Stok negatif","OK")))))</f>
        <v/>
      </c>
    </row>
    <row r="756" spans="1:11" x14ac:dyDescent="0.3">
      <c r="A756" s="9" t="str">
        <f t="shared" si="22"/>
        <v/>
      </c>
      <c r="B756" s="10"/>
      <c r="C756" s="5"/>
      <c r="D756" s="5"/>
      <c r="E756" s="11" t="str">
        <f>IF(D756="","",IFERROR(INDEX('Master Produk'!$B$2:$B$101,MATCH(D756,'Master Produk'!$A$2:$A$101,0)),"SKU tidak ada di master"))</f>
        <v/>
      </c>
      <c r="F756" s="6"/>
      <c r="G756" s="12" t="str">
        <f>IF(D756="","",IFERROR(INDEX('Master Produk'!$C$2:$C$101,MATCH(D756,'Master Produk'!$A$2:$A$101,0)),0)+SUMIFS(F$1:F755,D$1:D755,D756))</f>
        <v/>
      </c>
      <c r="H756" s="12" t="str">
        <f t="shared" si="23"/>
        <v/>
      </c>
      <c r="I756" s="5"/>
      <c r="J756" s="5"/>
      <c r="K756" s="11" t="str">
        <f>IF(D756="","",IF(ISNA(MATCH(D756,'Master Produk'!$A$2:$A$101,0)),"SKU tidak ada di master",IF(AND(C756="Stok masuk",F756&lt;0),"Stok masuk harus +",IF(AND(C756="Stok keluar",F756&gt;0),"Stok keluar harus -",IF(H756&lt;0,"Stok negatif","OK")))))</f>
        <v/>
      </c>
    </row>
    <row r="757" spans="1:11" x14ac:dyDescent="0.3">
      <c r="A757" s="9" t="str">
        <f t="shared" si="22"/>
        <v/>
      </c>
      <c r="B757" s="10"/>
      <c r="C757" s="5"/>
      <c r="D757" s="5"/>
      <c r="E757" s="11" t="str">
        <f>IF(D757="","",IFERROR(INDEX('Master Produk'!$B$2:$B$101,MATCH(D757,'Master Produk'!$A$2:$A$101,0)),"SKU tidak ada di master"))</f>
        <v/>
      </c>
      <c r="F757" s="6"/>
      <c r="G757" s="12" t="str">
        <f>IF(D757="","",IFERROR(INDEX('Master Produk'!$C$2:$C$101,MATCH(D757,'Master Produk'!$A$2:$A$101,0)),0)+SUMIFS(F$1:F756,D$1:D756,D757))</f>
        <v/>
      </c>
      <c r="H757" s="12" t="str">
        <f t="shared" si="23"/>
        <v/>
      </c>
      <c r="I757" s="5"/>
      <c r="J757" s="5"/>
      <c r="K757" s="11" t="str">
        <f>IF(D757="","",IF(ISNA(MATCH(D757,'Master Produk'!$A$2:$A$101,0)),"SKU tidak ada di master",IF(AND(C757="Stok masuk",F757&lt;0),"Stok masuk harus +",IF(AND(C757="Stok keluar",F757&gt;0),"Stok keluar harus -",IF(H757&lt;0,"Stok negatif","OK")))))</f>
        <v/>
      </c>
    </row>
    <row r="758" spans="1:11" x14ac:dyDescent="0.3">
      <c r="A758" s="9" t="str">
        <f t="shared" si="22"/>
        <v/>
      </c>
      <c r="B758" s="10"/>
      <c r="C758" s="5"/>
      <c r="D758" s="5"/>
      <c r="E758" s="11" t="str">
        <f>IF(D758="","",IFERROR(INDEX('Master Produk'!$B$2:$B$101,MATCH(D758,'Master Produk'!$A$2:$A$101,0)),"SKU tidak ada di master"))</f>
        <v/>
      </c>
      <c r="F758" s="6"/>
      <c r="G758" s="12" t="str">
        <f>IF(D758="","",IFERROR(INDEX('Master Produk'!$C$2:$C$101,MATCH(D758,'Master Produk'!$A$2:$A$101,0)),0)+SUMIFS(F$1:F757,D$1:D757,D758))</f>
        <v/>
      </c>
      <c r="H758" s="12" t="str">
        <f t="shared" si="23"/>
        <v/>
      </c>
      <c r="I758" s="5"/>
      <c r="J758" s="5"/>
      <c r="K758" s="11" t="str">
        <f>IF(D758="","",IF(ISNA(MATCH(D758,'Master Produk'!$A$2:$A$101,0)),"SKU tidak ada di master",IF(AND(C758="Stok masuk",F758&lt;0),"Stok masuk harus +",IF(AND(C758="Stok keluar",F758&gt;0),"Stok keluar harus -",IF(H758&lt;0,"Stok negatif","OK")))))</f>
        <v/>
      </c>
    </row>
    <row r="759" spans="1:11" x14ac:dyDescent="0.3">
      <c r="A759" s="9" t="str">
        <f t="shared" si="22"/>
        <v/>
      </c>
      <c r="B759" s="10"/>
      <c r="C759" s="5"/>
      <c r="D759" s="5"/>
      <c r="E759" s="11" t="str">
        <f>IF(D759="","",IFERROR(INDEX('Master Produk'!$B$2:$B$101,MATCH(D759,'Master Produk'!$A$2:$A$101,0)),"SKU tidak ada di master"))</f>
        <v/>
      </c>
      <c r="F759" s="6"/>
      <c r="G759" s="12" t="str">
        <f>IF(D759="","",IFERROR(INDEX('Master Produk'!$C$2:$C$101,MATCH(D759,'Master Produk'!$A$2:$A$101,0)),0)+SUMIFS(F$1:F758,D$1:D758,D759))</f>
        <v/>
      </c>
      <c r="H759" s="12" t="str">
        <f t="shared" si="23"/>
        <v/>
      </c>
      <c r="I759" s="5"/>
      <c r="J759" s="5"/>
      <c r="K759" s="11" t="str">
        <f>IF(D759="","",IF(ISNA(MATCH(D759,'Master Produk'!$A$2:$A$101,0)),"SKU tidak ada di master",IF(AND(C759="Stok masuk",F759&lt;0),"Stok masuk harus +",IF(AND(C759="Stok keluar",F759&gt;0),"Stok keluar harus -",IF(H759&lt;0,"Stok negatif","OK")))))</f>
        <v/>
      </c>
    </row>
    <row r="760" spans="1:11" x14ac:dyDescent="0.3">
      <c r="A760" s="9" t="str">
        <f t="shared" si="22"/>
        <v/>
      </c>
      <c r="B760" s="10"/>
      <c r="C760" s="5"/>
      <c r="D760" s="5"/>
      <c r="E760" s="11" t="str">
        <f>IF(D760="","",IFERROR(INDEX('Master Produk'!$B$2:$B$101,MATCH(D760,'Master Produk'!$A$2:$A$101,0)),"SKU tidak ada di master"))</f>
        <v/>
      </c>
      <c r="F760" s="6"/>
      <c r="G760" s="12" t="str">
        <f>IF(D760="","",IFERROR(INDEX('Master Produk'!$C$2:$C$101,MATCH(D760,'Master Produk'!$A$2:$A$101,0)),0)+SUMIFS(F$1:F759,D$1:D759,D760))</f>
        <v/>
      </c>
      <c r="H760" s="12" t="str">
        <f t="shared" si="23"/>
        <v/>
      </c>
      <c r="I760" s="5"/>
      <c r="J760" s="5"/>
      <c r="K760" s="11" t="str">
        <f>IF(D760="","",IF(ISNA(MATCH(D760,'Master Produk'!$A$2:$A$101,0)),"SKU tidak ada di master",IF(AND(C760="Stok masuk",F760&lt;0),"Stok masuk harus +",IF(AND(C760="Stok keluar",F760&gt;0),"Stok keluar harus -",IF(H760&lt;0,"Stok negatif","OK")))))</f>
        <v/>
      </c>
    </row>
    <row r="761" spans="1:11" x14ac:dyDescent="0.3">
      <c r="A761" s="9" t="str">
        <f t="shared" si="22"/>
        <v/>
      </c>
      <c r="B761" s="10"/>
      <c r="C761" s="5"/>
      <c r="D761" s="5"/>
      <c r="E761" s="11" t="str">
        <f>IF(D761="","",IFERROR(INDEX('Master Produk'!$B$2:$B$101,MATCH(D761,'Master Produk'!$A$2:$A$101,0)),"SKU tidak ada di master"))</f>
        <v/>
      </c>
      <c r="F761" s="6"/>
      <c r="G761" s="12" t="str">
        <f>IF(D761="","",IFERROR(INDEX('Master Produk'!$C$2:$C$101,MATCH(D761,'Master Produk'!$A$2:$A$101,0)),0)+SUMIFS(F$1:F760,D$1:D760,D761))</f>
        <v/>
      </c>
      <c r="H761" s="12" t="str">
        <f t="shared" si="23"/>
        <v/>
      </c>
      <c r="I761" s="5"/>
      <c r="J761" s="5"/>
      <c r="K761" s="11" t="str">
        <f>IF(D761="","",IF(ISNA(MATCH(D761,'Master Produk'!$A$2:$A$101,0)),"SKU tidak ada di master",IF(AND(C761="Stok masuk",F761&lt;0),"Stok masuk harus +",IF(AND(C761="Stok keluar",F761&gt;0),"Stok keluar harus -",IF(H761&lt;0,"Stok negatif","OK")))))</f>
        <v/>
      </c>
    </row>
    <row r="762" spans="1:11" x14ac:dyDescent="0.3">
      <c r="A762" s="9" t="str">
        <f t="shared" si="22"/>
        <v/>
      </c>
      <c r="B762" s="10"/>
      <c r="C762" s="5"/>
      <c r="D762" s="5"/>
      <c r="E762" s="11" t="str">
        <f>IF(D762="","",IFERROR(INDEX('Master Produk'!$B$2:$B$101,MATCH(D762,'Master Produk'!$A$2:$A$101,0)),"SKU tidak ada di master"))</f>
        <v/>
      </c>
      <c r="F762" s="6"/>
      <c r="G762" s="12" t="str">
        <f>IF(D762="","",IFERROR(INDEX('Master Produk'!$C$2:$C$101,MATCH(D762,'Master Produk'!$A$2:$A$101,0)),0)+SUMIFS(F$1:F761,D$1:D761,D762))</f>
        <v/>
      </c>
      <c r="H762" s="12" t="str">
        <f t="shared" si="23"/>
        <v/>
      </c>
      <c r="I762" s="5"/>
      <c r="J762" s="5"/>
      <c r="K762" s="11" t="str">
        <f>IF(D762="","",IF(ISNA(MATCH(D762,'Master Produk'!$A$2:$A$101,0)),"SKU tidak ada di master",IF(AND(C762="Stok masuk",F762&lt;0),"Stok masuk harus +",IF(AND(C762="Stok keluar",F762&gt;0),"Stok keluar harus -",IF(H762&lt;0,"Stok negatif","OK")))))</f>
        <v/>
      </c>
    </row>
    <row r="763" spans="1:11" x14ac:dyDescent="0.3">
      <c r="A763" s="9" t="str">
        <f t="shared" si="22"/>
        <v/>
      </c>
      <c r="B763" s="10"/>
      <c r="C763" s="5"/>
      <c r="D763" s="5"/>
      <c r="E763" s="11" t="str">
        <f>IF(D763="","",IFERROR(INDEX('Master Produk'!$B$2:$B$101,MATCH(D763,'Master Produk'!$A$2:$A$101,0)),"SKU tidak ada di master"))</f>
        <v/>
      </c>
      <c r="F763" s="6"/>
      <c r="G763" s="12" t="str">
        <f>IF(D763="","",IFERROR(INDEX('Master Produk'!$C$2:$C$101,MATCH(D763,'Master Produk'!$A$2:$A$101,0)),0)+SUMIFS(F$1:F762,D$1:D762,D763))</f>
        <v/>
      </c>
      <c r="H763" s="12" t="str">
        <f t="shared" si="23"/>
        <v/>
      </c>
      <c r="I763" s="5"/>
      <c r="J763" s="5"/>
      <c r="K763" s="11" t="str">
        <f>IF(D763="","",IF(ISNA(MATCH(D763,'Master Produk'!$A$2:$A$101,0)),"SKU tidak ada di master",IF(AND(C763="Stok masuk",F763&lt;0),"Stok masuk harus +",IF(AND(C763="Stok keluar",F763&gt;0),"Stok keluar harus -",IF(H763&lt;0,"Stok negatif","OK")))))</f>
        <v/>
      </c>
    </row>
    <row r="764" spans="1:11" x14ac:dyDescent="0.3">
      <c r="A764" s="9" t="str">
        <f t="shared" si="22"/>
        <v/>
      </c>
      <c r="B764" s="10"/>
      <c r="C764" s="5"/>
      <c r="D764" s="5"/>
      <c r="E764" s="11" t="str">
        <f>IF(D764="","",IFERROR(INDEX('Master Produk'!$B$2:$B$101,MATCH(D764,'Master Produk'!$A$2:$A$101,0)),"SKU tidak ada di master"))</f>
        <v/>
      </c>
      <c r="F764" s="6"/>
      <c r="G764" s="12" t="str">
        <f>IF(D764="","",IFERROR(INDEX('Master Produk'!$C$2:$C$101,MATCH(D764,'Master Produk'!$A$2:$A$101,0)),0)+SUMIFS(F$1:F763,D$1:D763,D764))</f>
        <v/>
      </c>
      <c r="H764" s="12" t="str">
        <f t="shared" si="23"/>
        <v/>
      </c>
      <c r="I764" s="5"/>
      <c r="J764" s="5"/>
      <c r="K764" s="11" t="str">
        <f>IF(D764="","",IF(ISNA(MATCH(D764,'Master Produk'!$A$2:$A$101,0)),"SKU tidak ada di master",IF(AND(C764="Stok masuk",F764&lt;0),"Stok masuk harus +",IF(AND(C764="Stok keluar",F764&gt;0),"Stok keluar harus -",IF(H764&lt;0,"Stok negatif","OK")))))</f>
        <v/>
      </c>
    </row>
    <row r="765" spans="1:11" x14ac:dyDescent="0.3">
      <c r="A765" s="9" t="str">
        <f t="shared" si="22"/>
        <v/>
      </c>
      <c r="B765" s="10"/>
      <c r="C765" s="5"/>
      <c r="D765" s="5"/>
      <c r="E765" s="11" t="str">
        <f>IF(D765="","",IFERROR(INDEX('Master Produk'!$B$2:$B$101,MATCH(D765,'Master Produk'!$A$2:$A$101,0)),"SKU tidak ada di master"))</f>
        <v/>
      </c>
      <c r="F765" s="6"/>
      <c r="G765" s="12" t="str">
        <f>IF(D765="","",IFERROR(INDEX('Master Produk'!$C$2:$C$101,MATCH(D765,'Master Produk'!$A$2:$A$101,0)),0)+SUMIFS(F$1:F764,D$1:D764,D765))</f>
        <v/>
      </c>
      <c r="H765" s="12" t="str">
        <f t="shared" si="23"/>
        <v/>
      </c>
      <c r="I765" s="5"/>
      <c r="J765" s="5"/>
      <c r="K765" s="11" t="str">
        <f>IF(D765="","",IF(ISNA(MATCH(D765,'Master Produk'!$A$2:$A$101,0)),"SKU tidak ada di master",IF(AND(C765="Stok masuk",F765&lt;0),"Stok masuk harus +",IF(AND(C765="Stok keluar",F765&gt;0),"Stok keluar harus -",IF(H765&lt;0,"Stok negatif","OK")))))</f>
        <v/>
      </c>
    </row>
    <row r="766" spans="1:11" x14ac:dyDescent="0.3">
      <c r="A766" s="9" t="str">
        <f t="shared" si="22"/>
        <v/>
      </c>
      <c r="B766" s="10"/>
      <c r="C766" s="5"/>
      <c r="D766" s="5"/>
      <c r="E766" s="11" t="str">
        <f>IF(D766="","",IFERROR(INDEX('Master Produk'!$B$2:$B$101,MATCH(D766,'Master Produk'!$A$2:$A$101,0)),"SKU tidak ada di master"))</f>
        <v/>
      </c>
      <c r="F766" s="6"/>
      <c r="G766" s="12" t="str">
        <f>IF(D766="","",IFERROR(INDEX('Master Produk'!$C$2:$C$101,MATCH(D766,'Master Produk'!$A$2:$A$101,0)),0)+SUMIFS(F$1:F765,D$1:D765,D766))</f>
        <v/>
      </c>
      <c r="H766" s="12" t="str">
        <f t="shared" si="23"/>
        <v/>
      </c>
      <c r="I766" s="5"/>
      <c r="J766" s="5"/>
      <c r="K766" s="11" t="str">
        <f>IF(D766="","",IF(ISNA(MATCH(D766,'Master Produk'!$A$2:$A$101,0)),"SKU tidak ada di master",IF(AND(C766="Stok masuk",F766&lt;0),"Stok masuk harus +",IF(AND(C766="Stok keluar",F766&gt;0),"Stok keluar harus -",IF(H766&lt;0,"Stok negatif","OK")))))</f>
        <v/>
      </c>
    </row>
    <row r="767" spans="1:11" x14ac:dyDescent="0.3">
      <c r="A767" s="9" t="str">
        <f t="shared" si="22"/>
        <v/>
      </c>
      <c r="B767" s="10"/>
      <c r="C767" s="5"/>
      <c r="D767" s="5"/>
      <c r="E767" s="11" t="str">
        <f>IF(D767="","",IFERROR(INDEX('Master Produk'!$B$2:$B$101,MATCH(D767,'Master Produk'!$A$2:$A$101,0)),"SKU tidak ada di master"))</f>
        <v/>
      </c>
      <c r="F767" s="6"/>
      <c r="G767" s="12" t="str">
        <f>IF(D767="","",IFERROR(INDEX('Master Produk'!$C$2:$C$101,MATCH(D767,'Master Produk'!$A$2:$A$101,0)),0)+SUMIFS(F$1:F766,D$1:D766,D767))</f>
        <v/>
      </c>
      <c r="H767" s="12" t="str">
        <f t="shared" si="23"/>
        <v/>
      </c>
      <c r="I767" s="5"/>
      <c r="J767" s="5"/>
      <c r="K767" s="11" t="str">
        <f>IF(D767="","",IF(ISNA(MATCH(D767,'Master Produk'!$A$2:$A$101,0)),"SKU tidak ada di master",IF(AND(C767="Stok masuk",F767&lt;0),"Stok masuk harus +",IF(AND(C767="Stok keluar",F767&gt;0),"Stok keluar harus -",IF(H767&lt;0,"Stok negatif","OK")))))</f>
        <v/>
      </c>
    </row>
    <row r="768" spans="1:11" x14ac:dyDescent="0.3">
      <c r="A768" s="9" t="str">
        <f t="shared" si="22"/>
        <v/>
      </c>
      <c r="B768" s="10"/>
      <c r="C768" s="5"/>
      <c r="D768" s="5"/>
      <c r="E768" s="11" t="str">
        <f>IF(D768="","",IFERROR(INDEX('Master Produk'!$B$2:$B$101,MATCH(D768,'Master Produk'!$A$2:$A$101,0)),"SKU tidak ada di master"))</f>
        <v/>
      </c>
      <c r="F768" s="6"/>
      <c r="G768" s="12" t="str">
        <f>IF(D768="","",IFERROR(INDEX('Master Produk'!$C$2:$C$101,MATCH(D768,'Master Produk'!$A$2:$A$101,0)),0)+SUMIFS(F$1:F767,D$1:D767,D768))</f>
        <v/>
      </c>
      <c r="H768" s="12" t="str">
        <f t="shared" si="23"/>
        <v/>
      </c>
      <c r="I768" s="5"/>
      <c r="J768" s="5"/>
      <c r="K768" s="11" t="str">
        <f>IF(D768="","",IF(ISNA(MATCH(D768,'Master Produk'!$A$2:$A$101,0)),"SKU tidak ada di master",IF(AND(C768="Stok masuk",F768&lt;0),"Stok masuk harus +",IF(AND(C768="Stok keluar",F768&gt;0),"Stok keluar harus -",IF(H768&lt;0,"Stok negatif","OK")))))</f>
        <v/>
      </c>
    </row>
    <row r="769" spans="1:11" x14ac:dyDescent="0.3">
      <c r="A769" s="9" t="str">
        <f t="shared" si="22"/>
        <v/>
      </c>
      <c r="B769" s="10"/>
      <c r="C769" s="5"/>
      <c r="D769" s="5"/>
      <c r="E769" s="11" t="str">
        <f>IF(D769="","",IFERROR(INDEX('Master Produk'!$B$2:$B$101,MATCH(D769,'Master Produk'!$A$2:$A$101,0)),"SKU tidak ada di master"))</f>
        <v/>
      </c>
      <c r="F769" s="6"/>
      <c r="G769" s="12" t="str">
        <f>IF(D769="","",IFERROR(INDEX('Master Produk'!$C$2:$C$101,MATCH(D769,'Master Produk'!$A$2:$A$101,0)),0)+SUMIFS(F$1:F768,D$1:D768,D769))</f>
        <v/>
      </c>
      <c r="H769" s="12" t="str">
        <f t="shared" si="23"/>
        <v/>
      </c>
      <c r="I769" s="5"/>
      <c r="J769" s="5"/>
      <c r="K769" s="11" t="str">
        <f>IF(D769="","",IF(ISNA(MATCH(D769,'Master Produk'!$A$2:$A$101,0)),"SKU tidak ada di master",IF(AND(C769="Stok masuk",F769&lt;0),"Stok masuk harus +",IF(AND(C769="Stok keluar",F769&gt;0),"Stok keluar harus -",IF(H769&lt;0,"Stok negatif","OK")))))</f>
        <v/>
      </c>
    </row>
    <row r="770" spans="1:11" x14ac:dyDescent="0.3">
      <c r="A770" s="9" t="str">
        <f t="shared" ref="A770:A833" si="24">IF(D770="","",ROW()-1)</f>
        <v/>
      </c>
      <c r="B770" s="10"/>
      <c r="C770" s="5"/>
      <c r="D770" s="5"/>
      <c r="E770" s="11" t="str">
        <f>IF(D770="","",IFERROR(INDEX('Master Produk'!$B$2:$B$101,MATCH(D770,'Master Produk'!$A$2:$A$101,0)),"SKU tidak ada di master"))</f>
        <v/>
      </c>
      <c r="F770" s="6"/>
      <c r="G770" s="12" t="str">
        <f>IF(D770="","",IFERROR(INDEX('Master Produk'!$C$2:$C$101,MATCH(D770,'Master Produk'!$A$2:$A$101,0)),0)+SUMIFS(F$1:F769,D$1:D769,D770))</f>
        <v/>
      </c>
      <c r="H770" s="12" t="str">
        <f t="shared" ref="H770:H833" si="25">IF(D770="","",G770+F770)</f>
        <v/>
      </c>
      <c r="I770" s="5"/>
      <c r="J770" s="5"/>
      <c r="K770" s="11" t="str">
        <f>IF(D770="","",IF(ISNA(MATCH(D770,'Master Produk'!$A$2:$A$101,0)),"SKU tidak ada di master",IF(AND(C770="Stok masuk",F770&lt;0),"Stok masuk harus +",IF(AND(C770="Stok keluar",F770&gt;0),"Stok keluar harus -",IF(H770&lt;0,"Stok negatif","OK")))))</f>
        <v/>
      </c>
    </row>
    <row r="771" spans="1:11" x14ac:dyDescent="0.3">
      <c r="A771" s="9" t="str">
        <f t="shared" si="24"/>
        <v/>
      </c>
      <c r="B771" s="10"/>
      <c r="C771" s="5"/>
      <c r="D771" s="5"/>
      <c r="E771" s="11" t="str">
        <f>IF(D771="","",IFERROR(INDEX('Master Produk'!$B$2:$B$101,MATCH(D771,'Master Produk'!$A$2:$A$101,0)),"SKU tidak ada di master"))</f>
        <v/>
      </c>
      <c r="F771" s="6"/>
      <c r="G771" s="12" t="str">
        <f>IF(D771="","",IFERROR(INDEX('Master Produk'!$C$2:$C$101,MATCH(D771,'Master Produk'!$A$2:$A$101,0)),0)+SUMIFS(F$1:F770,D$1:D770,D771))</f>
        <v/>
      </c>
      <c r="H771" s="12" t="str">
        <f t="shared" si="25"/>
        <v/>
      </c>
      <c r="I771" s="5"/>
      <c r="J771" s="5"/>
      <c r="K771" s="11" t="str">
        <f>IF(D771="","",IF(ISNA(MATCH(D771,'Master Produk'!$A$2:$A$101,0)),"SKU tidak ada di master",IF(AND(C771="Stok masuk",F771&lt;0),"Stok masuk harus +",IF(AND(C771="Stok keluar",F771&gt;0),"Stok keluar harus -",IF(H771&lt;0,"Stok negatif","OK")))))</f>
        <v/>
      </c>
    </row>
    <row r="772" spans="1:11" x14ac:dyDescent="0.3">
      <c r="A772" s="9" t="str">
        <f t="shared" si="24"/>
        <v/>
      </c>
      <c r="B772" s="10"/>
      <c r="C772" s="5"/>
      <c r="D772" s="5"/>
      <c r="E772" s="11" t="str">
        <f>IF(D772="","",IFERROR(INDEX('Master Produk'!$B$2:$B$101,MATCH(D772,'Master Produk'!$A$2:$A$101,0)),"SKU tidak ada di master"))</f>
        <v/>
      </c>
      <c r="F772" s="6"/>
      <c r="G772" s="12" t="str">
        <f>IF(D772="","",IFERROR(INDEX('Master Produk'!$C$2:$C$101,MATCH(D772,'Master Produk'!$A$2:$A$101,0)),0)+SUMIFS(F$1:F771,D$1:D771,D772))</f>
        <v/>
      </c>
      <c r="H772" s="12" t="str">
        <f t="shared" si="25"/>
        <v/>
      </c>
      <c r="I772" s="5"/>
      <c r="J772" s="5"/>
      <c r="K772" s="11" t="str">
        <f>IF(D772="","",IF(ISNA(MATCH(D772,'Master Produk'!$A$2:$A$101,0)),"SKU tidak ada di master",IF(AND(C772="Stok masuk",F772&lt;0),"Stok masuk harus +",IF(AND(C772="Stok keluar",F772&gt;0),"Stok keluar harus -",IF(H772&lt;0,"Stok negatif","OK")))))</f>
        <v/>
      </c>
    </row>
    <row r="773" spans="1:11" x14ac:dyDescent="0.3">
      <c r="A773" s="9" t="str">
        <f t="shared" si="24"/>
        <v/>
      </c>
      <c r="B773" s="10"/>
      <c r="C773" s="5"/>
      <c r="D773" s="5"/>
      <c r="E773" s="11" t="str">
        <f>IF(D773="","",IFERROR(INDEX('Master Produk'!$B$2:$B$101,MATCH(D773,'Master Produk'!$A$2:$A$101,0)),"SKU tidak ada di master"))</f>
        <v/>
      </c>
      <c r="F773" s="6"/>
      <c r="G773" s="12" t="str">
        <f>IF(D773="","",IFERROR(INDEX('Master Produk'!$C$2:$C$101,MATCH(D773,'Master Produk'!$A$2:$A$101,0)),0)+SUMIFS(F$1:F772,D$1:D772,D773))</f>
        <v/>
      </c>
      <c r="H773" s="12" t="str">
        <f t="shared" si="25"/>
        <v/>
      </c>
      <c r="I773" s="5"/>
      <c r="J773" s="5"/>
      <c r="K773" s="11" t="str">
        <f>IF(D773="","",IF(ISNA(MATCH(D773,'Master Produk'!$A$2:$A$101,0)),"SKU tidak ada di master",IF(AND(C773="Stok masuk",F773&lt;0),"Stok masuk harus +",IF(AND(C773="Stok keluar",F773&gt;0),"Stok keluar harus -",IF(H773&lt;0,"Stok negatif","OK")))))</f>
        <v/>
      </c>
    </row>
    <row r="774" spans="1:11" x14ac:dyDescent="0.3">
      <c r="A774" s="9" t="str">
        <f t="shared" si="24"/>
        <v/>
      </c>
      <c r="B774" s="10"/>
      <c r="C774" s="5"/>
      <c r="D774" s="5"/>
      <c r="E774" s="11" t="str">
        <f>IF(D774="","",IFERROR(INDEX('Master Produk'!$B$2:$B$101,MATCH(D774,'Master Produk'!$A$2:$A$101,0)),"SKU tidak ada di master"))</f>
        <v/>
      </c>
      <c r="F774" s="6"/>
      <c r="G774" s="12" t="str">
        <f>IF(D774="","",IFERROR(INDEX('Master Produk'!$C$2:$C$101,MATCH(D774,'Master Produk'!$A$2:$A$101,0)),0)+SUMIFS(F$1:F773,D$1:D773,D774))</f>
        <v/>
      </c>
      <c r="H774" s="12" t="str">
        <f t="shared" si="25"/>
        <v/>
      </c>
      <c r="I774" s="5"/>
      <c r="J774" s="5"/>
      <c r="K774" s="11" t="str">
        <f>IF(D774="","",IF(ISNA(MATCH(D774,'Master Produk'!$A$2:$A$101,0)),"SKU tidak ada di master",IF(AND(C774="Stok masuk",F774&lt;0),"Stok masuk harus +",IF(AND(C774="Stok keluar",F774&gt;0),"Stok keluar harus -",IF(H774&lt;0,"Stok negatif","OK")))))</f>
        <v/>
      </c>
    </row>
    <row r="775" spans="1:11" x14ac:dyDescent="0.3">
      <c r="A775" s="9" t="str">
        <f t="shared" si="24"/>
        <v/>
      </c>
      <c r="B775" s="10"/>
      <c r="C775" s="5"/>
      <c r="D775" s="5"/>
      <c r="E775" s="11" t="str">
        <f>IF(D775="","",IFERROR(INDEX('Master Produk'!$B$2:$B$101,MATCH(D775,'Master Produk'!$A$2:$A$101,0)),"SKU tidak ada di master"))</f>
        <v/>
      </c>
      <c r="F775" s="6"/>
      <c r="G775" s="12" t="str">
        <f>IF(D775="","",IFERROR(INDEX('Master Produk'!$C$2:$C$101,MATCH(D775,'Master Produk'!$A$2:$A$101,0)),0)+SUMIFS(F$1:F774,D$1:D774,D775))</f>
        <v/>
      </c>
      <c r="H775" s="12" t="str">
        <f t="shared" si="25"/>
        <v/>
      </c>
      <c r="I775" s="5"/>
      <c r="J775" s="5"/>
      <c r="K775" s="11" t="str">
        <f>IF(D775="","",IF(ISNA(MATCH(D775,'Master Produk'!$A$2:$A$101,0)),"SKU tidak ada di master",IF(AND(C775="Stok masuk",F775&lt;0),"Stok masuk harus +",IF(AND(C775="Stok keluar",F775&gt;0),"Stok keluar harus -",IF(H775&lt;0,"Stok negatif","OK")))))</f>
        <v/>
      </c>
    </row>
    <row r="776" spans="1:11" x14ac:dyDescent="0.3">
      <c r="A776" s="9" t="str">
        <f t="shared" si="24"/>
        <v/>
      </c>
      <c r="B776" s="10"/>
      <c r="C776" s="5"/>
      <c r="D776" s="5"/>
      <c r="E776" s="11" t="str">
        <f>IF(D776="","",IFERROR(INDEX('Master Produk'!$B$2:$B$101,MATCH(D776,'Master Produk'!$A$2:$A$101,0)),"SKU tidak ada di master"))</f>
        <v/>
      </c>
      <c r="F776" s="6"/>
      <c r="G776" s="12" t="str">
        <f>IF(D776="","",IFERROR(INDEX('Master Produk'!$C$2:$C$101,MATCH(D776,'Master Produk'!$A$2:$A$101,0)),0)+SUMIFS(F$1:F775,D$1:D775,D776))</f>
        <v/>
      </c>
      <c r="H776" s="12" t="str">
        <f t="shared" si="25"/>
        <v/>
      </c>
      <c r="I776" s="5"/>
      <c r="J776" s="5"/>
      <c r="K776" s="11" t="str">
        <f>IF(D776="","",IF(ISNA(MATCH(D776,'Master Produk'!$A$2:$A$101,0)),"SKU tidak ada di master",IF(AND(C776="Stok masuk",F776&lt;0),"Stok masuk harus +",IF(AND(C776="Stok keluar",F776&gt;0),"Stok keluar harus -",IF(H776&lt;0,"Stok negatif","OK")))))</f>
        <v/>
      </c>
    </row>
    <row r="777" spans="1:11" x14ac:dyDescent="0.3">
      <c r="A777" s="9" t="str">
        <f t="shared" si="24"/>
        <v/>
      </c>
      <c r="B777" s="10"/>
      <c r="C777" s="5"/>
      <c r="D777" s="5"/>
      <c r="E777" s="11" t="str">
        <f>IF(D777="","",IFERROR(INDEX('Master Produk'!$B$2:$B$101,MATCH(D777,'Master Produk'!$A$2:$A$101,0)),"SKU tidak ada di master"))</f>
        <v/>
      </c>
      <c r="F777" s="6"/>
      <c r="G777" s="12" t="str">
        <f>IF(D777="","",IFERROR(INDEX('Master Produk'!$C$2:$C$101,MATCH(D777,'Master Produk'!$A$2:$A$101,0)),0)+SUMIFS(F$1:F776,D$1:D776,D777))</f>
        <v/>
      </c>
      <c r="H777" s="12" t="str">
        <f t="shared" si="25"/>
        <v/>
      </c>
      <c r="I777" s="5"/>
      <c r="J777" s="5"/>
      <c r="K777" s="11" t="str">
        <f>IF(D777="","",IF(ISNA(MATCH(D777,'Master Produk'!$A$2:$A$101,0)),"SKU tidak ada di master",IF(AND(C777="Stok masuk",F777&lt;0),"Stok masuk harus +",IF(AND(C777="Stok keluar",F777&gt;0),"Stok keluar harus -",IF(H777&lt;0,"Stok negatif","OK")))))</f>
        <v/>
      </c>
    </row>
    <row r="778" spans="1:11" x14ac:dyDescent="0.3">
      <c r="A778" s="9" t="str">
        <f t="shared" si="24"/>
        <v/>
      </c>
      <c r="B778" s="10"/>
      <c r="C778" s="5"/>
      <c r="D778" s="5"/>
      <c r="E778" s="11" t="str">
        <f>IF(D778="","",IFERROR(INDEX('Master Produk'!$B$2:$B$101,MATCH(D778,'Master Produk'!$A$2:$A$101,0)),"SKU tidak ada di master"))</f>
        <v/>
      </c>
      <c r="F778" s="6"/>
      <c r="G778" s="12" t="str">
        <f>IF(D778="","",IFERROR(INDEX('Master Produk'!$C$2:$C$101,MATCH(D778,'Master Produk'!$A$2:$A$101,0)),0)+SUMIFS(F$1:F777,D$1:D777,D778))</f>
        <v/>
      </c>
      <c r="H778" s="12" t="str">
        <f t="shared" si="25"/>
        <v/>
      </c>
      <c r="I778" s="5"/>
      <c r="J778" s="5"/>
      <c r="K778" s="11" t="str">
        <f>IF(D778="","",IF(ISNA(MATCH(D778,'Master Produk'!$A$2:$A$101,0)),"SKU tidak ada di master",IF(AND(C778="Stok masuk",F778&lt;0),"Stok masuk harus +",IF(AND(C778="Stok keluar",F778&gt;0),"Stok keluar harus -",IF(H778&lt;0,"Stok negatif","OK")))))</f>
        <v/>
      </c>
    </row>
    <row r="779" spans="1:11" x14ac:dyDescent="0.3">
      <c r="A779" s="9" t="str">
        <f t="shared" si="24"/>
        <v/>
      </c>
      <c r="B779" s="10"/>
      <c r="C779" s="5"/>
      <c r="D779" s="5"/>
      <c r="E779" s="11" t="str">
        <f>IF(D779="","",IFERROR(INDEX('Master Produk'!$B$2:$B$101,MATCH(D779,'Master Produk'!$A$2:$A$101,0)),"SKU tidak ada di master"))</f>
        <v/>
      </c>
      <c r="F779" s="6"/>
      <c r="G779" s="12" t="str">
        <f>IF(D779="","",IFERROR(INDEX('Master Produk'!$C$2:$C$101,MATCH(D779,'Master Produk'!$A$2:$A$101,0)),0)+SUMIFS(F$1:F778,D$1:D778,D779))</f>
        <v/>
      </c>
      <c r="H779" s="12" t="str">
        <f t="shared" si="25"/>
        <v/>
      </c>
      <c r="I779" s="5"/>
      <c r="J779" s="5"/>
      <c r="K779" s="11" t="str">
        <f>IF(D779="","",IF(ISNA(MATCH(D779,'Master Produk'!$A$2:$A$101,0)),"SKU tidak ada di master",IF(AND(C779="Stok masuk",F779&lt;0),"Stok masuk harus +",IF(AND(C779="Stok keluar",F779&gt;0),"Stok keluar harus -",IF(H779&lt;0,"Stok negatif","OK")))))</f>
        <v/>
      </c>
    </row>
    <row r="780" spans="1:11" x14ac:dyDescent="0.3">
      <c r="A780" s="9" t="str">
        <f t="shared" si="24"/>
        <v/>
      </c>
      <c r="B780" s="10"/>
      <c r="C780" s="5"/>
      <c r="D780" s="5"/>
      <c r="E780" s="11" t="str">
        <f>IF(D780="","",IFERROR(INDEX('Master Produk'!$B$2:$B$101,MATCH(D780,'Master Produk'!$A$2:$A$101,0)),"SKU tidak ada di master"))</f>
        <v/>
      </c>
      <c r="F780" s="6"/>
      <c r="G780" s="12" t="str">
        <f>IF(D780="","",IFERROR(INDEX('Master Produk'!$C$2:$C$101,MATCH(D780,'Master Produk'!$A$2:$A$101,0)),0)+SUMIFS(F$1:F779,D$1:D779,D780))</f>
        <v/>
      </c>
      <c r="H780" s="12" t="str">
        <f t="shared" si="25"/>
        <v/>
      </c>
      <c r="I780" s="5"/>
      <c r="J780" s="5"/>
      <c r="K780" s="11" t="str">
        <f>IF(D780="","",IF(ISNA(MATCH(D780,'Master Produk'!$A$2:$A$101,0)),"SKU tidak ada di master",IF(AND(C780="Stok masuk",F780&lt;0),"Stok masuk harus +",IF(AND(C780="Stok keluar",F780&gt;0),"Stok keluar harus -",IF(H780&lt;0,"Stok negatif","OK")))))</f>
        <v/>
      </c>
    </row>
    <row r="781" spans="1:11" x14ac:dyDescent="0.3">
      <c r="A781" s="9" t="str">
        <f t="shared" si="24"/>
        <v/>
      </c>
      <c r="B781" s="10"/>
      <c r="C781" s="5"/>
      <c r="D781" s="5"/>
      <c r="E781" s="11" t="str">
        <f>IF(D781="","",IFERROR(INDEX('Master Produk'!$B$2:$B$101,MATCH(D781,'Master Produk'!$A$2:$A$101,0)),"SKU tidak ada di master"))</f>
        <v/>
      </c>
      <c r="F781" s="6"/>
      <c r="G781" s="12" t="str">
        <f>IF(D781="","",IFERROR(INDEX('Master Produk'!$C$2:$C$101,MATCH(D781,'Master Produk'!$A$2:$A$101,0)),0)+SUMIFS(F$1:F780,D$1:D780,D781))</f>
        <v/>
      </c>
      <c r="H781" s="12" t="str">
        <f t="shared" si="25"/>
        <v/>
      </c>
      <c r="I781" s="5"/>
      <c r="J781" s="5"/>
      <c r="K781" s="11" t="str">
        <f>IF(D781="","",IF(ISNA(MATCH(D781,'Master Produk'!$A$2:$A$101,0)),"SKU tidak ada di master",IF(AND(C781="Stok masuk",F781&lt;0),"Stok masuk harus +",IF(AND(C781="Stok keluar",F781&gt;0),"Stok keluar harus -",IF(H781&lt;0,"Stok negatif","OK")))))</f>
        <v/>
      </c>
    </row>
    <row r="782" spans="1:11" x14ac:dyDescent="0.3">
      <c r="A782" s="9" t="str">
        <f t="shared" si="24"/>
        <v/>
      </c>
      <c r="B782" s="10"/>
      <c r="C782" s="5"/>
      <c r="D782" s="5"/>
      <c r="E782" s="11" t="str">
        <f>IF(D782="","",IFERROR(INDEX('Master Produk'!$B$2:$B$101,MATCH(D782,'Master Produk'!$A$2:$A$101,0)),"SKU tidak ada di master"))</f>
        <v/>
      </c>
      <c r="F782" s="6"/>
      <c r="G782" s="12" t="str">
        <f>IF(D782="","",IFERROR(INDEX('Master Produk'!$C$2:$C$101,MATCH(D782,'Master Produk'!$A$2:$A$101,0)),0)+SUMIFS(F$1:F781,D$1:D781,D782))</f>
        <v/>
      </c>
      <c r="H782" s="12" t="str">
        <f t="shared" si="25"/>
        <v/>
      </c>
      <c r="I782" s="5"/>
      <c r="J782" s="5"/>
      <c r="K782" s="11" t="str">
        <f>IF(D782="","",IF(ISNA(MATCH(D782,'Master Produk'!$A$2:$A$101,0)),"SKU tidak ada di master",IF(AND(C782="Stok masuk",F782&lt;0),"Stok masuk harus +",IF(AND(C782="Stok keluar",F782&gt;0),"Stok keluar harus -",IF(H782&lt;0,"Stok negatif","OK")))))</f>
        <v/>
      </c>
    </row>
    <row r="783" spans="1:11" x14ac:dyDescent="0.3">
      <c r="A783" s="9" t="str">
        <f t="shared" si="24"/>
        <v/>
      </c>
      <c r="B783" s="10"/>
      <c r="C783" s="5"/>
      <c r="D783" s="5"/>
      <c r="E783" s="11" t="str">
        <f>IF(D783="","",IFERROR(INDEX('Master Produk'!$B$2:$B$101,MATCH(D783,'Master Produk'!$A$2:$A$101,0)),"SKU tidak ada di master"))</f>
        <v/>
      </c>
      <c r="F783" s="6"/>
      <c r="G783" s="12" t="str">
        <f>IF(D783="","",IFERROR(INDEX('Master Produk'!$C$2:$C$101,MATCH(D783,'Master Produk'!$A$2:$A$101,0)),0)+SUMIFS(F$1:F782,D$1:D782,D783))</f>
        <v/>
      </c>
      <c r="H783" s="12" t="str">
        <f t="shared" si="25"/>
        <v/>
      </c>
      <c r="I783" s="5"/>
      <c r="J783" s="5"/>
      <c r="K783" s="11" t="str">
        <f>IF(D783="","",IF(ISNA(MATCH(D783,'Master Produk'!$A$2:$A$101,0)),"SKU tidak ada di master",IF(AND(C783="Stok masuk",F783&lt;0),"Stok masuk harus +",IF(AND(C783="Stok keluar",F783&gt;0),"Stok keluar harus -",IF(H783&lt;0,"Stok negatif","OK")))))</f>
        <v/>
      </c>
    </row>
    <row r="784" spans="1:11" x14ac:dyDescent="0.3">
      <c r="A784" s="9" t="str">
        <f t="shared" si="24"/>
        <v/>
      </c>
      <c r="B784" s="10"/>
      <c r="C784" s="5"/>
      <c r="D784" s="5"/>
      <c r="E784" s="11" t="str">
        <f>IF(D784="","",IFERROR(INDEX('Master Produk'!$B$2:$B$101,MATCH(D784,'Master Produk'!$A$2:$A$101,0)),"SKU tidak ada di master"))</f>
        <v/>
      </c>
      <c r="F784" s="6"/>
      <c r="G784" s="12" t="str">
        <f>IF(D784="","",IFERROR(INDEX('Master Produk'!$C$2:$C$101,MATCH(D784,'Master Produk'!$A$2:$A$101,0)),0)+SUMIFS(F$1:F783,D$1:D783,D784))</f>
        <v/>
      </c>
      <c r="H784" s="12" t="str">
        <f t="shared" si="25"/>
        <v/>
      </c>
      <c r="I784" s="5"/>
      <c r="J784" s="5"/>
      <c r="K784" s="11" t="str">
        <f>IF(D784="","",IF(ISNA(MATCH(D784,'Master Produk'!$A$2:$A$101,0)),"SKU tidak ada di master",IF(AND(C784="Stok masuk",F784&lt;0),"Stok masuk harus +",IF(AND(C784="Stok keluar",F784&gt;0),"Stok keluar harus -",IF(H784&lt;0,"Stok negatif","OK")))))</f>
        <v/>
      </c>
    </row>
    <row r="785" spans="1:11" x14ac:dyDescent="0.3">
      <c r="A785" s="9" t="str">
        <f t="shared" si="24"/>
        <v/>
      </c>
      <c r="B785" s="10"/>
      <c r="C785" s="5"/>
      <c r="D785" s="5"/>
      <c r="E785" s="11" t="str">
        <f>IF(D785="","",IFERROR(INDEX('Master Produk'!$B$2:$B$101,MATCH(D785,'Master Produk'!$A$2:$A$101,0)),"SKU tidak ada di master"))</f>
        <v/>
      </c>
      <c r="F785" s="6"/>
      <c r="G785" s="12" t="str">
        <f>IF(D785="","",IFERROR(INDEX('Master Produk'!$C$2:$C$101,MATCH(D785,'Master Produk'!$A$2:$A$101,0)),0)+SUMIFS(F$1:F784,D$1:D784,D785))</f>
        <v/>
      </c>
      <c r="H785" s="12" t="str">
        <f t="shared" si="25"/>
        <v/>
      </c>
      <c r="I785" s="5"/>
      <c r="J785" s="5"/>
      <c r="K785" s="11" t="str">
        <f>IF(D785="","",IF(ISNA(MATCH(D785,'Master Produk'!$A$2:$A$101,0)),"SKU tidak ada di master",IF(AND(C785="Stok masuk",F785&lt;0),"Stok masuk harus +",IF(AND(C785="Stok keluar",F785&gt;0),"Stok keluar harus -",IF(H785&lt;0,"Stok negatif","OK")))))</f>
        <v/>
      </c>
    </row>
    <row r="786" spans="1:11" x14ac:dyDescent="0.3">
      <c r="A786" s="9" t="str">
        <f t="shared" si="24"/>
        <v/>
      </c>
      <c r="B786" s="10"/>
      <c r="C786" s="5"/>
      <c r="D786" s="5"/>
      <c r="E786" s="11" t="str">
        <f>IF(D786="","",IFERROR(INDEX('Master Produk'!$B$2:$B$101,MATCH(D786,'Master Produk'!$A$2:$A$101,0)),"SKU tidak ada di master"))</f>
        <v/>
      </c>
      <c r="F786" s="6"/>
      <c r="G786" s="12" t="str">
        <f>IF(D786="","",IFERROR(INDEX('Master Produk'!$C$2:$C$101,MATCH(D786,'Master Produk'!$A$2:$A$101,0)),0)+SUMIFS(F$1:F785,D$1:D785,D786))</f>
        <v/>
      </c>
      <c r="H786" s="12" t="str">
        <f t="shared" si="25"/>
        <v/>
      </c>
      <c r="I786" s="5"/>
      <c r="J786" s="5"/>
      <c r="K786" s="11" t="str">
        <f>IF(D786="","",IF(ISNA(MATCH(D786,'Master Produk'!$A$2:$A$101,0)),"SKU tidak ada di master",IF(AND(C786="Stok masuk",F786&lt;0),"Stok masuk harus +",IF(AND(C786="Stok keluar",F786&gt;0),"Stok keluar harus -",IF(H786&lt;0,"Stok negatif","OK")))))</f>
        <v/>
      </c>
    </row>
    <row r="787" spans="1:11" x14ac:dyDescent="0.3">
      <c r="A787" s="9" t="str">
        <f t="shared" si="24"/>
        <v/>
      </c>
      <c r="B787" s="10"/>
      <c r="C787" s="5"/>
      <c r="D787" s="5"/>
      <c r="E787" s="11" t="str">
        <f>IF(D787="","",IFERROR(INDEX('Master Produk'!$B$2:$B$101,MATCH(D787,'Master Produk'!$A$2:$A$101,0)),"SKU tidak ada di master"))</f>
        <v/>
      </c>
      <c r="F787" s="6"/>
      <c r="G787" s="12" t="str">
        <f>IF(D787="","",IFERROR(INDEX('Master Produk'!$C$2:$C$101,MATCH(D787,'Master Produk'!$A$2:$A$101,0)),0)+SUMIFS(F$1:F786,D$1:D786,D787))</f>
        <v/>
      </c>
      <c r="H787" s="12" t="str">
        <f t="shared" si="25"/>
        <v/>
      </c>
      <c r="I787" s="5"/>
      <c r="J787" s="5"/>
      <c r="K787" s="11" t="str">
        <f>IF(D787="","",IF(ISNA(MATCH(D787,'Master Produk'!$A$2:$A$101,0)),"SKU tidak ada di master",IF(AND(C787="Stok masuk",F787&lt;0),"Stok masuk harus +",IF(AND(C787="Stok keluar",F787&gt;0),"Stok keluar harus -",IF(H787&lt;0,"Stok negatif","OK")))))</f>
        <v/>
      </c>
    </row>
    <row r="788" spans="1:11" x14ac:dyDescent="0.3">
      <c r="A788" s="9" t="str">
        <f t="shared" si="24"/>
        <v/>
      </c>
      <c r="B788" s="10"/>
      <c r="C788" s="5"/>
      <c r="D788" s="5"/>
      <c r="E788" s="11" t="str">
        <f>IF(D788="","",IFERROR(INDEX('Master Produk'!$B$2:$B$101,MATCH(D788,'Master Produk'!$A$2:$A$101,0)),"SKU tidak ada di master"))</f>
        <v/>
      </c>
      <c r="F788" s="6"/>
      <c r="G788" s="12" t="str">
        <f>IF(D788="","",IFERROR(INDEX('Master Produk'!$C$2:$C$101,MATCH(D788,'Master Produk'!$A$2:$A$101,0)),0)+SUMIFS(F$1:F787,D$1:D787,D788))</f>
        <v/>
      </c>
      <c r="H788" s="12" t="str">
        <f t="shared" si="25"/>
        <v/>
      </c>
      <c r="I788" s="5"/>
      <c r="J788" s="5"/>
      <c r="K788" s="11" t="str">
        <f>IF(D788="","",IF(ISNA(MATCH(D788,'Master Produk'!$A$2:$A$101,0)),"SKU tidak ada di master",IF(AND(C788="Stok masuk",F788&lt;0),"Stok masuk harus +",IF(AND(C788="Stok keluar",F788&gt;0),"Stok keluar harus -",IF(H788&lt;0,"Stok negatif","OK")))))</f>
        <v/>
      </c>
    </row>
    <row r="789" spans="1:11" x14ac:dyDescent="0.3">
      <c r="A789" s="9" t="str">
        <f t="shared" si="24"/>
        <v/>
      </c>
      <c r="B789" s="10"/>
      <c r="C789" s="5"/>
      <c r="D789" s="5"/>
      <c r="E789" s="11" t="str">
        <f>IF(D789="","",IFERROR(INDEX('Master Produk'!$B$2:$B$101,MATCH(D789,'Master Produk'!$A$2:$A$101,0)),"SKU tidak ada di master"))</f>
        <v/>
      </c>
      <c r="F789" s="6"/>
      <c r="G789" s="12" t="str">
        <f>IF(D789="","",IFERROR(INDEX('Master Produk'!$C$2:$C$101,MATCH(D789,'Master Produk'!$A$2:$A$101,0)),0)+SUMIFS(F$1:F788,D$1:D788,D789))</f>
        <v/>
      </c>
      <c r="H789" s="12" t="str">
        <f t="shared" si="25"/>
        <v/>
      </c>
      <c r="I789" s="5"/>
      <c r="J789" s="5"/>
      <c r="K789" s="11" t="str">
        <f>IF(D789="","",IF(ISNA(MATCH(D789,'Master Produk'!$A$2:$A$101,0)),"SKU tidak ada di master",IF(AND(C789="Stok masuk",F789&lt;0),"Stok masuk harus +",IF(AND(C789="Stok keluar",F789&gt;0),"Stok keluar harus -",IF(H789&lt;0,"Stok negatif","OK")))))</f>
        <v/>
      </c>
    </row>
    <row r="790" spans="1:11" x14ac:dyDescent="0.3">
      <c r="A790" s="9" t="str">
        <f t="shared" si="24"/>
        <v/>
      </c>
      <c r="B790" s="10"/>
      <c r="C790" s="5"/>
      <c r="D790" s="5"/>
      <c r="E790" s="11" t="str">
        <f>IF(D790="","",IFERROR(INDEX('Master Produk'!$B$2:$B$101,MATCH(D790,'Master Produk'!$A$2:$A$101,0)),"SKU tidak ada di master"))</f>
        <v/>
      </c>
      <c r="F790" s="6"/>
      <c r="G790" s="12" t="str">
        <f>IF(D790="","",IFERROR(INDEX('Master Produk'!$C$2:$C$101,MATCH(D790,'Master Produk'!$A$2:$A$101,0)),0)+SUMIFS(F$1:F789,D$1:D789,D790))</f>
        <v/>
      </c>
      <c r="H790" s="12" t="str">
        <f t="shared" si="25"/>
        <v/>
      </c>
      <c r="I790" s="5"/>
      <c r="J790" s="5"/>
      <c r="K790" s="11" t="str">
        <f>IF(D790="","",IF(ISNA(MATCH(D790,'Master Produk'!$A$2:$A$101,0)),"SKU tidak ada di master",IF(AND(C790="Stok masuk",F790&lt;0),"Stok masuk harus +",IF(AND(C790="Stok keluar",F790&gt;0),"Stok keluar harus -",IF(H790&lt;0,"Stok negatif","OK")))))</f>
        <v/>
      </c>
    </row>
    <row r="791" spans="1:11" x14ac:dyDescent="0.3">
      <c r="A791" s="9" t="str">
        <f t="shared" si="24"/>
        <v/>
      </c>
      <c r="B791" s="10"/>
      <c r="C791" s="5"/>
      <c r="D791" s="5"/>
      <c r="E791" s="11" t="str">
        <f>IF(D791="","",IFERROR(INDEX('Master Produk'!$B$2:$B$101,MATCH(D791,'Master Produk'!$A$2:$A$101,0)),"SKU tidak ada di master"))</f>
        <v/>
      </c>
      <c r="F791" s="6"/>
      <c r="G791" s="12" t="str">
        <f>IF(D791="","",IFERROR(INDEX('Master Produk'!$C$2:$C$101,MATCH(D791,'Master Produk'!$A$2:$A$101,0)),0)+SUMIFS(F$1:F790,D$1:D790,D791))</f>
        <v/>
      </c>
      <c r="H791" s="12" t="str">
        <f t="shared" si="25"/>
        <v/>
      </c>
      <c r="I791" s="5"/>
      <c r="J791" s="5"/>
      <c r="K791" s="11" t="str">
        <f>IF(D791="","",IF(ISNA(MATCH(D791,'Master Produk'!$A$2:$A$101,0)),"SKU tidak ada di master",IF(AND(C791="Stok masuk",F791&lt;0),"Stok masuk harus +",IF(AND(C791="Stok keluar",F791&gt;0),"Stok keluar harus -",IF(H791&lt;0,"Stok negatif","OK")))))</f>
        <v/>
      </c>
    </row>
    <row r="792" spans="1:11" x14ac:dyDescent="0.3">
      <c r="A792" s="9" t="str">
        <f t="shared" si="24"/>
        <v/>
      </c>
      <c r="B792" s="10"/>
      <c r="C792" s="5"/>
      <c r="D792" s="5"/>
      <c r="E792" s="11" t="str">
        <f>IF(D792="","",IFERROR(INDEX('Master Produk'!$B$2:$B$101,MATCH(D792,'Master Produk'!$A$2:$A$101,0)),"SKU tidak ada di master"))</f>
        <v/>
      </c>
      <c r="F792" s="6"/>
      <c r="G792" s="12" t="str">
        <f>IF(D792="","",IFERROR(INDEX('Master Produk'!$C$2:$C$101,MATCH(D792,'Master Produk'!$A$2:$A$101,0)),0)+SUMIFS(F$1:F791,D$1:D791,D792))</f>
        <v/>
      </c>
      <c r="H792" s="12" t="str">
        <f t="shared" si="25"/>
        <v/>
      </c>
      <c r="I792" s="5"/>
      <c r="J792" s="5"/>
      <c r="K792" s="11" t="str">
        <f>IF(D792="","",IF(ISNA(MATCH(D792,'Master Produk'!$A$2:$A$101,0)),"SKU tidak ada di master",IF(AND(C792="Stok masuk",F792&lt;0),"Stok masuk harus +",IF(AND(C792="Stok keluar",F792&gt;0),"Stok keluar harus -",IF(H792&lt;0,"Stok negatif","OK")))))</f>
        <v/>
      </c>
    </row>
    <row r="793" spans="1:11" x14ac:dyDescent="0.3">
      <c r="A793" s="9" t="str">
        <f t="shared" si="24"/>
        <v/>
      </c>
      <c r="B793" s="10"/>
      <c r="C793" s="5"/>
      <c r="D793" s="5"/>
      <c r="E793" s="11" t="str">
        <f>IF(D793="","",IFERROR(INDEX('Master Produk'!$B$2:$B$101,MATCH(D793,'Master Produk'!$A$2:$A$101,0)),"SKU tidak ada di master"))</f>
        <v/>
      </c>
      <c r="F793" s="6"/>
      <c r="G793" s="12" t="str">
        <f>IF(D793="","",IFERROR(INDEX('Master Produk'!$C$2:$C$101,MATCH(D793,'Master Produk'!$A$2:$A$101,0)),0)+SUMIFS(F$1:F792,D$1:D792,D793))</f>
        <v/>
      </c>
      <c r="H793" s="12" t="str">
        <f t="shared" si="25"/>
        <v/>
      </c>
      <c r="I793" s="5"/>
      <c r="J793" s="5"/>
      <c r="K793" s="11" t="str">
        <f>IF(D793="","",IF(ISNA(MATCH(D793,'Master Produk'!$A$2:$A$101,0)),"SKU tidak ada di master",IF(AND(C793="Stok masuk",F793&lt;0),"Stok masuk harus +",IF(AND(C793="Stok keluar",F793&gt;0),"Stok keluar harus -",IF(H793&lt;0,"Stok negatif","OK")))))</f>
        <v/>
      </c>
    </row>
    <row r="794" spans="1:11" x14ac:dyDescent="0.3">
      <c r="A794" s="9" t="str">
        <f t="shared" si="24"/>
        <v/>
      </c>
      <c r="B794" s="10"/>
      <c r="C794" s="5"/>
      <c r="D794" s="5"/>
      <c r="E794" s="11" t="str">
        <f>IF(D794="","",IFERROR(INDEX('Master Produk'!$B$2:$B$101,MATCH(D794,'Master Produk'!$A$2:$A$101,0)),"SKU tidak ada di master"))</f>
        <v/>
      </c>
      <c r="F794" s="6"/>
      <c r="G794" s="12" t="str">
        <f>IF(D794="","",IFERROR(INDEX('Master Produk'!$C$2:$C$101,MATCH(D794,'Master Produk'!$A$2:$A$101,0)),0)+SUMIFS(F$1:F793,D$1:D793,D794))</f>
        <v/>
      </c>
      <c r="H794" s="12" t="str">
        <f t="shared" si="25"/>
        <v/>
      </c>
      <c r="I794" s="5"/>
      <c r="J794" s="5"/>
      <c r="K794" s="11" t="str">
        <f>IF(D794="","",IF(ISNA(MATCH(D794,'Master Produk'!$A$2:$A$101,0)),"SKU tidak ada di master",IF(AND(C794="Stok masuk",F794&lt;0),"Stok masuk harus +",IF(AND(C794="Stok keluar",F794&gt;0),"Stok keluar harus -",IF(H794&lt;0,"Stok negatif","OK")))))</f>
        <v/>
      </c>
    </row>
    <row r="795" spans="1:11" x14ac:dyDescent="0.3">
      <c r="A795" s="9" t="str">
        <f t="shared" si="24"/>
        <v/>
      </c>
      <c r="B795" s="10"/>
      <c r="C795" s="5"/>
      <c r="D795" s="5"/>
      <c r="E795" s="11" t="str">
        <f>IF(D795="","",IFERROR(INDEX('Master Produk'!$B$2:$B$101,MATCH(D795,'Master Produk'!$A$2:$A$101,0)),"SKU tidak ada di master"))</f>
        <v/>
      </c>
      <c r="F795" s="6"/>
      <c r="G795" s="12" t="str">
        <f>IF(D795="","",IFERROR(INDEX('Master Produk'!$C$2:$C$101,MATCH(D795,'Master Produk'!$A$2:$A$101,0)),0)+SUMIFS(F$1:F794,D$1:D794,D795))</f>
        <v/>
      </c>
      <c r="H795" s="12" t="str">
        <f t="shared" si="25"/>
        <v/>
      </c>
      <c r="I795" s="5"/>
      <c r="J795" s="5"/>
      <c r="K795" s="11" t="str">
        <f>IF(D795="","",IF(ISNA(MATCH(D795,'Master Produk'!$A$2:$A$101,0)),"SKU tidak ada di master",IF(AND(C795="Stok masuk",F795&lt;0),"Stok masuk harus +",IF(AND(C795="Stok keluar",F795&gt;0),"Stok keluar harus -",IF(H795&lt;0,"Stok negatif","OK")))))</f>
        <v/>
      </c>
    </row>
    <row r="796" spans="1:11" x14ac:dyDescent="0.3">
      <c r="A796" s="9" t="str">
        <f t="shared" si="24"/>
        <v/>
      </c>
      <c r="B796" s="10"/>
      <c r="C796" s="5"/>
      <c r="D796" s="5"/>
      <c r="E796" s="11" t="str">
        <f>IF(D796="","",IFERROR(INDEX('Master Produk'!$B$2:$B$101,MATCH(D796,'Master Produk'!$A$2:$A$101,0)),"SKU tidak ada di master"))</f>
        <v/>
      </c>
      <c r="F796" s="6"/>
      <c r="G796" s="12" t="str">
        <f>IF(D796="","",IFERROR(INDEX('Master Produk'!$C$2:$C$101,MATCH(D796,'Master Produk'!$A$2:$A$101,0)),0)+SUMIFS(F$1:F795,D$1:D795,D796))</f>
        <v/>
      </c>
      <c r="H796" s="12" t="str">
        <f t="shared" si="25"/>
        <v/>
      </c>
      <c r="I796" s="5"/>
      <c r="J796" s="5"/>
      <c r="K796" s="11" t="str">
        <f>IF(D796="","",IF(ISNA(MATCH(D796,'Master Produk'!$A$2:$A$101,0)),"SKU tidak ada di master",IF(AND(C796="Stok masuk",F796&lt;0),"Stok masuk harus +",IF(AND(C796="Stok keluar",F796&gt;0),"Stok keluar harus -",IF(H796&lt;0,"Stok negatif","OK")))))</f>
        <v/>
      </c>
    </row>
    <row r="797" spans="1:11" x14ac:dyDescent="0.3">
      <c r="A797" s="9" t="str">
        <f t="shared" si="24"/>
        <v/>
      </c>
      <c r="B797" s="10"/>
      <c r="C797" s="5"/>
      <c r="D797" s="5"/>
      <c r="E797" s="11" t="str">
        <f>IF(D797="","",IFERROR(INDEX('Master Produk'!$B$2:$B$101,MATCH(D797,'Master Produk'!$A$2:$A$101,0)),"SKU tidak ada di master"))</f>
        <v/>
      </c>
      <c r="F797" s="6"/>
      <c r="G797" s="12" t="str">
        <f>IF(D797="","",IFERROR(INDEX('Master Produk'!$C$2:$C$101,MATCH(D797,'Master Produk'!$A$2:$A$101,0)),0)+SUMIFS(F$1:F796,D$1:D796,D797))</f>
        <v/>
      </c>
      <c r="H797" s="12" t="str">
        <f t="shared" si="25"/>
        <v/>
      </c>
      <c r="I797" s="5"/>
      <c r="J797" s="5"/>
      <c r="K797" s="11" t="str">
        <f>IF(D797="","",IF(ISNA(MATCH(D797,'Master Produk'!$A$2:$A$101,0)),"SKU tidak ada di master",IF(AND(C797="Stok masuk",F797&lt;0),"Stok masuk harus +",IF(AND(C797="Stok keluar",F797&gt;0),"Stok keluar harus -",IF(H797&lt;0,"Stok negatif","OK")))))</f>
        <v/>
      </c>
    </row>
    <row r="798" spans="1:11" x14ac:dyDescent="0.3">
      <c r="A798" s="9" t="str">
        <f t="shared" si="24"/>
        <v/>
      </c>
      <c r="B798" s="10"/>
      <c r="C798" s="5"/>
      <c r="D798" s="5"/>
      <c r="E798" s="11" t="str">
        <f>IF(D798="","",IFERROR(INDEX('Master Produk'!$B$2:$B$101,MATCH(D798,'Master Produk'!$A$2:$A$101,0)),"SKU tidak ada di master"))</f>
        <v/>
      </c>
      <c r="F798" s="6"/>
      <c r="G798" s="12" t="str">
        <f>IF(D798="","",IFERROR(INDEX('Master Produk'!$C$2:$C$101,MATCH(D798,'Master Produk'!$A$2:$A$101,0)),0)+SUMIFS(F$1:F797,D$1:D797,D798))</f>
        <v/>
      </c>
      <c r="H798" s="12" t="str">
        <f t="shared" si="25"/>
        <v/>
      </c>
      <c r="I798" s="5"/>
      <c r="J798" s="5"/>
      <c r="K798" s="11" t="str">
        <f>IF(D798="","",IF(ISNA(MATCH(D798,'Master Produk'!$A$2:$A$101,0)),"SKU tidak ada di master",IF(AND(C798="Stok masuk",F798&lt;0),"Stok masuk harus +",IF(AND(C798="Stok keluar",F798&gt;0),"Stok keluar harus -",IF(H798&lt;0,"Stok negatif","OK")))))</f>
        <v/>
      </c>
    </row>
    <row r="799" spans="1:11" x14ac:dyDescent="0.3">
      <c r="A799" s="9" t="str">
        <f t="shared" si="24"/>
        <v/>
      </c>
      <c r="B799" s="10"/>
      <c r="C799" s="5"/>
      <c r="D799" s="5"/>
      <c r="E799" s="11" t="str">
        <f>IF(D799="","",IFERROR(INDEX('Master Produk'!$B$2:$B$101,MATCH(D799,'Master Produk'!$A$2:$A$101,0)),"SKU tidak ada di master"))</f>
        <v/>
      </c>
      <c r="F799" s="6"/>
      <c r="G799" s="12" t="str">
        <f>IF(D799="","",IFERROR(INDEX('Master Produk'!$C$2:$C$101,MATCH(D799,'Master Produk'!$A$2:$A$101,0)),0)+SUMIFS(F$1:F798,D$1:D798,D799))</f>
        <v/>
      </c>
      <c r="H799" s="12" t="str">
        <f t="shared" si="25"/>
        <v/>
      </c>
      <c r="I799" s="5"/>
      <c r="J799" s="5"/>
      <c r="K799" s="11" t="str">
        <f>IF(D799="","",IF(ISNA(MATCH(D799,'Master Produk'!$A$2:$A$101,0)),"SKU tidak ada di master",IF(AND(C799="Stok masuk",F799&lt;0),"Stok masuk harus +",IF(AND(C799="Stok keluar",F799&gt;0),"Stok keluar harus -",IF(H799&lt;0,"Stok negatif","OK")))))</f>
        <v/>
      </c>
    </row>
    <row r="800" spans="1:11" x14ac:dyDescent="0.3">
      <c r="A800" s="9" t="str">
        <f t="shared" si="24"/>
        <v/>
      </c>
      <c r="B800" s="10"/>
      <c r="C800" s="5"/>
      <c r="D800" s="5"/>
      <c r="E800" s="11" t="str">
        <f>IF(D800="","",IFERROR(INDEX('Master Produk'!$B$2:$B$101,MATCH(D800,'Master Produk'!$A$2:$A$101,0)),"SKU tidak ada di master"))</f>
        <v/>
      </c>
      <c r="F800" s="6"/>
      <c r="G800" s="12" t="str">
        <f>IF(D800="","",IFERROR(INDEX('Master Produk'!$C$2:$C$101,MATCH(D800,'Master Produk'!$A$2:$A$101,0)),0)+SUMIFS(F$1:F799,D$1:D799,D800))</f>
        <v/>
      </c>
      <c r="H800" s="12" t="str">
        <f t="shared" si="25"/>
        <v/>
      </c>
      <c r="I800" s="5"/>
      <c r="J800" s="5"/>
      <c r="K800" s="11" t="str">
        <f>IF(D800="","",IF(ISNA(MATCH(D800,'Master Produk'!$A$2:$A$101,0)),"SKU tidak ada di master",IF(AND(C800="Stok masuk",F800&lt;0),"Stok masuk harus +",IF(AND(C800="Stok keluar",F800&gt;0),"Stok keluar harus -",IF(H800&lt;0,"Stok negatif","OK")))))</f>
        <v/>
      </c>
    </row>
    <row r="801" spans="1:11" x14ac:dyDescent="0.3">
      <c r="A801" s="9" t="str">
        <f t="shared" si="24"/>
        <v/>
      </c>
      <c r="B801" s="10"/>
      <c r="C801" s="5"/>
      <c r="D801" s="5"/>
      <c r="E801" s="11" t="str">
        <f>IF(D801="","",IFERROR(INDEX('Master Produk'!$B$2:$B$101,MATCH(D801,'Master Produk'!$A$2:$A$101,0)),"SKU tidak ada di master"))</f>
        <v/>
      </c>
      <c r="F801" s="6"/>
      <c r="G801" s="12" t="str">
        <f>IF(D801="","",IFERROR(INDEX('Master Produk'!$C$2:$C$101,MATCH(D801,'Master Produk'!$A$2:$A$101,0)),0)+SUMIFS(F$1:F800,D$1:D800,D801))</f>
        <v/>
      </c>
      <c r="H801" s="12" t="str">
        <f t="shared" si="25"/>
        <v/>
      </c>
      <c r="I801" s="5"/>
      <c r="J801" s="5"/>
      <c r="K801" s="11" t="str">
        <f>IF(D801="","",IF(ISNA(MATCH(D801,'Master Produk'!$A$2:$A$101,0)),"SKU tidak ada di master",IF(AND(C801="Stok masuk",F801&lt;0),"Stok masuk harus +",IF(AND(C801="Stok keluar",F801&gt;0),"Stok keluar harus -",IF(H801&lt;0,"Stok negatif","OK")))))</f>
        <v/>
      </c>
    </row>
    <row r="802" spans="1:11" x14ac:dyDescent="0.3">
      <c r="A802" s="9" t="str">
        <f t="shared" si="24"/>
        <v/>
      </c>
      <c r="B802" s="10"/>
      <c r="C802" s="5"/>
      <c r="D802" s="5"/>
      <c r="E802" s="11" t="str">
        <f>IF(D802="","",IFERROR(INDEX('Master Produk'!$B$2:$B$101,MATCH(D802,'Master Produk'!$A$2:$A$101,0)),"SKU tidak ada di master"))</f>
        <v/>
      </c>
      <c r="F802" s="6"/>
      <c r="G802" s="12" t="str">
        <f>IF(D802="","",IFERROR(INDEX('Master Produk'!$C$2:$C$101,MATCH(D802,'Master Produk'!$A$2:$A$101,0)),0)+SUMIFS(F$1:F801,D$1:D801,D802))</f>
        <v/>
      </c>
      <c r="H802" s="12" t="str">
        <f t="shared" si="25"/>
        <v/>
      </c>
      <c r="I802" s="5"/>
      <c r="J802" s="5"/>
      <c r="K802" s="11" t="str">
        <f>IF(D802="","",IF(ISNA(MATCH(D802,'Master Produk'!$A$2:$A$101,0)),"SKU tidak ada di master",IF(AND(C802="Stok masuk",F802&lt;0),"Stok masuk harus +",IF(AND(C802="Stok keluar",F802&gt;0),"Stok keluar harus -",IF(H802&lt;0,"Stok negatif","OK")))))</f>
        <v/>
      </c>
    </row>
    <row r="803" spans="1:11" x14ac:dyDescent="0.3">
      <c r="A803" s="9" t="str">
        <f t="shared" si="24"/>
        <v/>
      </c>
      <c r="B803" s="10"/>
      <c r="C803" s="5"/>
      <c r="D803" s="5"/>
      <c r="E803" s="11" t="str">
        <f>IF(D803="","",IFERROR(INDEX('Master Produk'!$B$2:$B$101,MATCH(D803,'Master Produk'!$A$2:$A$101,0)),"SKU tidak ada di master"))</f>
        <v/>
      </c>
      <c r="F803" s="6"/>
      <c r="G803" s="12" t="str">
        <f>IF(D803="","",IFERROR(INDEX('Master Produk'!$C$2:$C$101,MATCH(D803,'Master Produk'!$A$2:$A$101,0)),0)+SUMIFS(F$1:F802,D$1:D802,D803))</f>
        <v/>
      </c>
      <c r="H803" s="12" t="str">
        <f t="shared" si="25"/>
        <v/>
      </c>
      <c r="I803" s="5"/>
      <c r="J803" s="5"/>
      <c r="K803" s="11" t="str">
        <f>IF(D803="","",IF(ISNA(MATCH(D803,'Master Produk'!$A$2:$A$101,0)),"SKU tidak ada di master",IF(AND(C803="Stok masuk",F803&lt;0),"Stok masuk harus +",IF(AND(C803="Stok keluar",F803&gt;0),"Stok keluar harus -",IF(H803&lt;0,"Stok negatif","OK")))))</f>
        <v/>
      </c>
    </row>
    <row r="804" spans="1:11" x14ac:dyDescent="0.3">
      <c r="A804" s="9" t="str">
        <f t="shared" si="24"/>
        <v/>
      </c>
      <c r="B804" s="10"/>
      <c r="C804" s="5"/>
      <c r="D804" s="5"/>
      <c r="E804" s="11" t="str">
        <f>IF(D804="","",IFERROR(INDEX('Master Produk'!$B$2:$B$101,MATCH(D804,'Master Produk'!$A$2:$A$101,0)),"SKU tidak ada di master"))</f>
        <v/>
      </c>
      <c r="F804" s="6"/>
      <c r="G804" s="12" t="str">
        <f>IF(D804="","",IFERROR(INDEX('Master Produk'!$C$2:$C$101,MATCH(D804,'Master Produk'!$A$2:$A$101,0)),0)+SUMIFS(F$1:F803,D$1:D803,D804))</f>
        <v/>
      </c>
      <c r="H804" s="12" t="str">
        <f t="shared" si="25"/>
        <v/>
      </c>
      <c r="I804" s="5"/>
      <c r="J804" s="5"/>
      <c r="K804" s="11" t="str">
        <f>IF(D804="","",IF(ISNA(MATCH(D804,'Master Produk'!$A$2:$A$101,0)),"SKU tidak ada di master",IF(AND(C804="Stok masuk",F804&lt;0),"Stok masuk harus +",IF(AND(C804="Stok keluar",F804&gt;0),"Stok keluar harus -",IF(H804&lt;0,"Stok negatif","OK")))))</f>
        <v/>
      </c>
    </row>
    <row r="805" spans="1:11" x14ac:dyDescent="0.3">
      <c r="A805" s="9" t="str">
        <f t="shared" si="24"/>
        <v/>
      </c>
      <c r="B805" s="10"/>
      <c r="C805" s="5"/>
      <c r="D805" s="5"/>
      <c r="E805" s="11" t="str">
        <f>IF(D805="","",IFERROR(INDEX('Master Produk'!$B$2:$B$101,MATCH(D805,'Master Produk'!$A$2:$A$101,0)),"SKU tidak ada di master"))</f>
        <v/>
      </c>
      <c r="F805" s="6"/>
      <c r="G805" s="12" t="str">
        <f>IF(D805="","",IFERROR(INDEX('Master Produk'!$C$2:$C$101,MATCH(D805,'Master Produk'!$A$2:$A$101,0)),0)+SUMIFS(F$1:F804,D$1:D804,D805))</f>
        <v/>
      </c>
      <c r="H805" s="12" t="str">
        <f t="shared" si="25"/>
        <v/>
      </c>
      <c r="I805" s="5"/>
      <c r="J805" s="5"/>
      <c r="K805" s="11" t="str">
        <f>IF(D805="","",IF(ISNA(MATCH(D805,'Master Produk'!$A$2:$A$101,0)),"SKU tidak ada di master",IF(AND(C805="Stok masuk",F805&lt;0),"Stok masuk harus +",IF(AND(C805="Stok keluar",F805&gt;0),"Stok keluar harus -",IF(H805&lt;0,"Stok negatif","OK")))))</f>
        <v/>
      </c>
    </row>
    <row r="806" spans="1:11" x14ac:dyDescent="0.3">
      <c r="A806" s="9" t="str">
        <f t="shared" si="24"/>
        <v/>
      </c>
      <c r="B806" s="10"/>
      <c r="C806" s="5"/>
      <c r="D806" s="5"/>
      <c r="E806" s="11" t="str">
        <f>IF(D806="","",IFERROR(INDEX('Master Produk'!$B$2:$B$101,MATCH(D806,'Master Produk'!$A$2:$A$101,0)),"SKU tidak ada di master"))</f>
        <v/>
      </c>
      <c r="F806" s="6"/>
      <c r="G806" s="12" t="str">
        <f>IF(D806="","",IFERROR(INDEX('Master Produk'!$C$2:$C$101,MATCH(D806,'Master Produk'!$A$2:$A$101,0)),0)+SUMIFS(F$1:F805,D$1:D805,D806))</f>
        <v/>
      </c>
      <c r="H806" s="12" t="str">
        <f t="shared" si="25"/>
        <v/>
      </c>
      <c r="I806" s="5"/>
      <c r="J806" s="5"/>
      <c r="K806" s="11" t="str">
        <f>IF(D806="","",IF(ISNA(MATCH(D806,'Master Produk'!$A$2:$A$101,0)),"SKU tidak ada di master",IF(AND(C806="Stok masuk",F806&lt;0),"Stok masuk harus +",IF(AND(C806="Stok keluar",F806&gt;0),"Stok keluar harus -",IF(H806&lt;0,"Stok negatif","OK")))))</f>
        <v/>
      </c>
    </row>
    <row r="807" spans="1:11" x14ac:dyDescent="0.3">
      <c r="A807" s="9" t="str">
        <f t="shared" si="24"/>
        <v/>
      </c>
      <c r="B807" s="10"/>
      <c r="C807" s="5"/>
      <c r="D807" s="5"/>
      <c r="E807" s="11" t="str">
        <f>IF(D807="","",IFERROR(INDEX('Master Produk'!$B$2:$B$101,MATCH(D807,'Master Produk'!$A$2:$A$101,0)),"SKU tidak ada di master"))</f>
        <v/>
      </c>
      <c r="F807" s="6"/>
      <c r="G807" s="12" t="str">
        <f>IF(D807="","",IFERROR(INDEX('Master Produk'!$C$2:$C$101,MATCH(D807,'Master Produk'!$A$2:$A$101,0)),0)+SUMIFS(F$1:F806,D$1:D806,D807))</f>
        <v/>
      </c>
      <c r="H807" s="12" t="str">
        <f t="shared" si="25"/>
        <v/>
      </c>
      <c r="I807" s="5"/>
      <c r="J807" s="5"/>
      <c r="K807" s="11" t="str">
        <f>IF(D807="","",IF(ISNA(MATCH(D807,'Master Produk'!$A$2:$A$101,0)),"SKU tidak ada di master",IF(AND(C807="Stok masuk",F807&lt;0),"Stok masuk harus +",IF(AND(C807="Stok keluar",F807&gt;0),"Stok keluar harus -",IF(H807&lt;0,"Stok negatif","OK")))))</f>
        <v/>
      </c>
    </row>
    <row r="808" spans="1:11" x14ac:dyDescent="0.3">
      <c r="A808" s="9" t="str">
        <f t="shared" si="24"/>
        <v/>
      </c>
      <c r="B808" s="10"/>
      <c r="C808" s="5"/>
      <c r="D808" s="5"/>
      <c r="E808" s="11" t="str">
        <f>IF(D808="","",IFERROR(INDEX('Master Produk'!$B$2:$B$101,MATCH(D808,'Master Produk'!$A$2:$A$101,0)),"SKU tidak ada di master"))</f>
        <v/>
      </c>
      <c r="F808" s="6"/>
      <c r="G808" s="12" t="str">
        <f>IF(D808="","",IFERROR(INDEX('Master Produk'!$C$2:$C$101,MATCH(D808,'Master Produk'!$A$2:$A$101,0)),0)+SUMIFS(F$1:F807,D$1:D807,D808))</f>
        <v/>
      </c>
      <c r="H808" s="12" t="str">
        <f t="shared" si="25"/>
        <v/>
      </c>
      <c r="I808" s="5"/>
      <c r="J808" s="5"/>
      <c r="K808" s="11" t="str">
        <f>IF(D808="","",IF(ISNA(MATCH(D808,'Master Produk'!$A$2:$A$101,0)),"SKU tidak ada di master",IF(AND(C808="Stok masuk",F808&lt;0),"Stok masuk harus +",IF(AND(C808="Stok keluar",F808&gt;0),"Stok keluar harus -",IF(H808&lt;0,"Stok negatif","OK")))))</f>
        <v/>
      </c>
    </row>
    <row r="809" spans="1:11" x14ac:dyDescent="0.3">
      <c r="A809" s="9" t="str">
        <f t="shared" si="24"/>
        <v/>
      </c>
      <c r="B809" s="10"/>
      <c r="C809" s="5"/>
      <c r="D809" s="5"/>
      <c r="E809" s="11" t="str">
        <f>IF(D809="","",IFERROR(INDEX('Master Produk'!$B$2:$B$101,MATCH(D809,'Master Produk'!$A$2:$A$101,0)),"SKU tidak ada di master"))</f>
        <v/>
      </c>
      <c r="F809" s="6"/>
      <c r="G809" s="12" t="str">
        <f>IF(D809="","",IFERROR(INDEX('Master Produk'!$C$2:$C$101,MATCH(D809,'Master Produk'!$A$2:$A$101,0)),0)+SUMIFS(F$1:F808,D$1:D808,D809))</f>
        <v/>
      </c>
      <c r="H809" s="12" t="str">
        <f t="shared" si="25"/>
        <v/>
      </c>
      <c r="I809" s="5"/>
      <c r="J809" s="5"/>
      <c r="K809" s="11" t="str">
        <f>IF(D809="","",IF(ISNA(MATCH(D809,'Master Produk'!$A$2:$A$101,0)),"SKU tidak ada di master",IF(AND(C809="Stok masuk",F809&lt;0),"Stok masuk harus +",IF(AND(C809="Stok keluar",F809&gt;0),"Stok keluar harus -",IF(H809&lt;0,"Stok negatif","OK")))))</f>
        <v/>
      </c>
    </row>
    <row r="810" spans="1:11" x14ac:dyDescent="0.3">
      <c r="A810" s="9" t="str">
        <f t="shared" si="24"/>
        <v/>
      </c>
      <c r="B810" s="10"/>
      <c r="C810" s="5"/>
      <c r="D810" s="5"/>
      <c r="E810" s="11" t="str">
        <f>IF(D810="","",IFERROR(INDEX('Master Produk'!$B$2:$B$101,MATCH(D810,'Master Produk'!$A$2:$A$101,0)),"SKU tidak ada di master"))</f>
        <v/>
      </c>
      <c r="F810" s="6"/>
      <c r="G810" s="12" t="str">
        <f>IF(D810="","",IFERROR(INDEX('Master Produk'!$C$2:$C$101,MATCH(D810,'Master Produk'!$A$2:$A$101,0)),0)+SUMIFS(F$1:F809,D$1:D809,D810))</f>
        <v/>
      </c>
      <c r="H810" s="12" t="str">
        <f t="shared" si="25"/>
        <v/>
      </c>
      <c r="I810" s="5"/>
      <c r="J810" s="5"/>
      <c r="K810" s="11" t="str">
        <f>IF(D810="","",IF(ISNA(MATCH(D810,'Master Produk'!$A$2:$A$101,0)),"SKU tidak ada di master",IF(AND(C810="Stok masuk",F810&lt;0),"Stok masuk harus +",IF(AND(C810="Stok keluar",F810&gt;0),"Stok keluar harus -",IF(H810&lt;0,"Stok negatif","OK")))))</f>
        <v/>
      </c>
    </row>
    <row r="811" spans="1:11" x14ac:dyDescent="0.3">
      <c r="A811" s="9" t="str">
        <f t="shared" si="24"/>
        <v/>
      </c>
      <c r="B811" s="10"/>
      <c r="C811" s="5"/>
      <c r="D811" s="5"/>
      <c r="E811" s="11" t="str">
        <f>IF(D811="","",IFERROR(INDEX('Master Produk'!$B$2:$B$101,MATCH(D811,'Master Produk'!$A$2:$A$101,0)),"SKU tidak ada di master"))</f>
        <v/>
      </c>
      <c r="F811" s="6"/>
      <c r="G811" s="12" t="str">
        <f>IF(D811="","",IFERROR(INDEX('Master Produk'!$C$2:$C$101,MATCH(D811,'Master Produk'!$A$2:$A$101,0)),0)+SUMIFS(F$1:F810,D$1:D810,D811))</f>
        <v/>
      </c>
      <c r="H811" s="12" t="str">
        <f t="shared" si="25"/>
        <v/>
      </c>
      <c r="I811" s="5"/>
      <c r="J811" s="5"/>
      <c r="K811" s="11" t="str">
        <f>IF(D811="","",IF(ISNA(MATCH(D811,'Master Produk'!$A$2:$A$101,0)),"SKU tidak ada di master",IF(AND(C811="Stok masuk",F811&lt;0),"Stok masuk harus +",IF(AND(C811="Stok keluar",F811&gt;0),"Stok keluar harus -",IF(H811&lt;0,"Stok negatif","OK")))))</f>
        <v/>
      </c>
    </row>
    <row r="812" spans="1:11" x14ac:dyDescent="0.3">
      <c r="A812" s="9" t="str">
        <f t="shared" si="24"/>
        <v/>
      </c>
      <c r="B812" s="10"/>
      <c r="C812" s="5"/>
      <c r="D812" s="5"/>
      <c r="E812" s="11" t="str">
        <f>IF(D812="","",IFERROR(INDEX('Master Produk'!$B$2:$B$101,MATCH(D812,'Master Produk'!$A$2:$A$101,0)),"SKU tidak ada di master"))</f>
        <v/>
      </c>
      <c r="F812" s="6"/>
      <c r="G812" s="12" t="str">
        <f>IF(D812="","",IFERROR(INDEX('Master Produk'!$C$2:$C$101,MATCH(D812,'Master Produk'!$A$2:$A$101,0)),0)+SUMIFS(F$1:F811,D$1:D811,D812))</f>
        <v/>
      </c>
      <c r="H812" s="12" t="str">
        <f t="shared" si="25"/>
        <v/>
      </c>
      <c r="I812" s="5"/>
      <c r="J812" s="5"/>
      <c r="K812" s="11" t="str">
        <f>IF(D812="","",IF(ISNA(MATCH(D812,'Master Produk'!$A$2:$A$101,0)),"SKU tidak ada di master",IF(AND(C812="Stok masuk",F812&lt;0),"Stok masuk harus +",IF(AND(C812="Stok keluar",F812&gt;0),"Stok keluar harus -",IF(H812&lt;0,"Stok negatif","OK")))))</f>
        <v/>
      </c>
    </row>
    <row r="813" spans="1:11" x14ac:dyDescent="0.3">
      <c r="A813" s="9" t="str">
        <f t="shared" si="24"/>
        <v/>
      </c>
      <c r="B813" s="10"/>
      <c r="C813" s="5"/>
      <c r="D813" s="5"/>
      <c r="E813" s="11" t="str">
        <f>IF(D813="","",IFERROR(INDEX('Master Produk'!$B$2:$B$101,MATCH(D813,'Master Produk'!$A$2:$A$101,0)),"SKU tidak ada di master"))</f>
        <v/>
      </c>
      <c r="F813" s="6"/>
      <c r="G813" s="12" t="str">
        <f>IF(D813="","",IFERROR(INDEX('Master Produk'!$C$2:$C$101,MATCH(D813,'Master Produk'!$A$2:$A$101,0)),0)+SUMIFS(F$1:F812,D$1:D812,D813))</f>
        <v/>
      </c>
      <c r="H813" s="12" t="str">
        <f t="shared" si="25"/>
        <v/>
      </c>
      <c r="I813" s="5"/>
      <c r="J813" s="5"/>
      <c r="K813" s="11" t="str">
        <f>IF(D813="","",IF(ISNA(MATCH(D813,'Master Produk'!$A$2:$A$101,0)),"SKU tidak ada di master",IF(AND(C813="Stok masuk",F813&lt;0),"Stok masuk harus +",IF(AND(C813="Stok keluar",F813&gt;0),"Stok keluar harus -",IF(H813&lt;0,"Stok negatif","OK")))))</f>
        <v/>
      </c>
    </row>
    <row r="814" spans="1:11" x14ac:dyDescent="0.3">
      <c r="A814" s="9" t="str">
        <f t="shared" si="24"/>
        <v/>
      </c>
      <c r="B814" s="10"/>
      <c r="C814" s="5"/>
      <c r="D814" s="5"/>
      <c r="E814" s="11" t="str">
        <f>IF(D814="","",IFERROR(INDEX('Master Produk'!$B$2:$B$101,MATCH(D814,'Master Produk'!$A$2:$A$101,0)),"SKU tidak ada di master"))</f>
        <v/>
      </c>
      <c r="F814" s="6"/>
      <c r="G814" s="12" t="str">
        <f>IF(D814="","",IFERROR(INDEX('Master Produk'!$C$2:$C$101,MATCH(D814,'Master Produk'!$A$2:$A$101,0)),0)+SUMIFS(F$1:F813,D$1:D813,D814))</f>
        <v/>
      </c>
      <c r="H814" s="12" t="str">
        <f t="shared" si="25"/>
        <v/>
      </c>
      <c r="I814" s="5"/>
      <c r="J814" s="5"/>
      <c r="K814" s="11" t="str">
        <f>IF(D814="","",IF(ISNA(MATCH(D814,'Master Produk'!$A$2:$A$101,0)),"SKU tidak ada di master",IF(AND(C814="Stok masuk",F814&lt;0),"Stok masuk harus +",IF(AND(C814="Stok keluar",F814&gt;0),"Stok keluar harus -",IF(H814&lt;0,"Stok negatif","OK")))))</f>
        <v/>
      </c>
    </row>
    <row r="815" spans="1:11" x14ac:dyDescent="0.3">
      <c r="A815" s="9" t="str">
        <f t="shared" si="24"/>
        <v/>
      </c>
      <c r="B815" s="10"/>
      <c r="C815" s="5"/>
      <c r="D815" s="5"/>
      <c r="E815" s="11" t="str">
        <f>IF(D815="","",IFERROR(INDEX('Master Produk'!$B$2:$B$101,MATCH(D815,'Master Produk'!$A$2:$A$101,0)),"SKU tidak ada di master"))</f>
        <v/>
      </c>
      <c r="F815" s="6"/>
      <c r="G815" s="12" t="str">
        <f>IF(D815="","",IFERROR(INDEX('Master Produk'!$C$2:$C$101,MATCH(D815,'Master Produk'!$A$2:$A$101,0)),0)+SUMIFS(F$1:F814,D$1:D814,D815))</f>
        <v/>
      </c>
      <c r="H815" s="12" t="str">
        <f t="shared" si="25"/>
        <v/>
      </c>
      <c r="I815" s="5"/>
      <c r="J815" s="5"/>
      <c r="K815" s="11" t="str">
        <f>IF(D815="","",IF(ISNA(MATCH(D815,'Master Produk'!$A$2:$A$101,0)),"SKU tidak ada di master",IF(AND(C815="Stok masuk",F815&lt;0),"Stok masuk harus +",IF(AND(C815="Stok keluar",F815&gt;0),"Stok keluar harus -",IF(H815&lt;0,"Stok negatif","OK")))))</f>
        <v/>
      </c>
    </row>
    <row r="816" spans="1:11" x14ac:dyDescent="0.3">
      <c r="A816" s="9" t="str">
        <f t="shared" si="24"/>
        <v/>
      </c>
      <c r="B816" s="10"/>
      <c r="C816" s="5"/>
      <c r="D816" s="5"/>
      <c r="E816" s="11" t="str">
        <f>IF(D816="","",IFERROR(INDEX('Master Produk'!$B$2:$B$101,MATCH(D816,'Master Produk'!$A$2:$A$101,0)),"SKU tidak ada di master"))</f>
        <v/>
      </c>
      <c r="F816" s="6"/>
      <c r="G816" s="12" t="str">
        <f>IF(D816="","",IFERROR(INDEX('Master Produk'!$C$2:$C$101,MATCH(D816,'Master Produk'!$A$2:$A$101,0)),0)+SUMIFS(F$1:F815,D$1:D815,D816))</f>
        <v/>
      </c>
      <c r="H816" s="12" t="str">
        <f t="shared" si="25"/>
        <v/>
      </c>
      <c r="I816" s="5"/>
      <c r="J816" s="5"/>
      <c r="K816" s="11" t="str">
        <f>IF(D816="","",IF(ISNA(MATCH(D816,'Master Produk'!$A$2:$A$101,0)),"SKU tidak ada di master",IF(AND(C816="Stok masuk",F816&lt;0),"Stok masuk harus +",IF(AND(C816="Stok keluar",F816&gt;0),"Stok keluar harus -",IF(H816&lt;0,"Stok negatif","OK")))))</f>
        <v/>
      </c>
    </row>
    <row r="817" spans="1:11" x14ac:dyDescent="0.3">
      <c r="A817" s="9" t="str">
        <f t="shared" si="24"/>
        <v/>
      </c>
      <c r="B817" s="10"/>
      <c r="C817" s="5"/>
      <c r="D817" s="5"/>
      <c r="E817" s="11" t="str">
        <f>IF(D817="","",IFERROR(INDEX('Master Produk'!$B$2:$B$101,MATCH(D817,'Master Produk'!$A$2:$A$101,0)),"SKU tidak ada di master"))</f>
        <v/>
      </c>
      <c r="F817" s="6"/>
      <c r="G817" s="12" t="str">
        <f>IF(D817="","",IFERROR(INDEX('Master Produk'!$C$2:$C$101,MATCH(D817,'Master Produk'!$A$2:$A$101,0)),0)+SUMIFS(F$1:F816,D$1:D816,D817))</f>
        <v/>
      </c>
      <c r="H817" s="12" t="str">
        <f t="shared" si="25"/>
        <v/>
      </c>
      <c r="I817" s="5"/>
      <c r="J817" s="5"/>
      <c r="K817" s="11" t="str">
        <f>IF(D817="","",IF(ISNA(MATCH(D817,'Master Produk'!$A$2:$A$101,0)),"SKU tidak ada di master",IF(AND(C817="Stok masuk",F817&lt;0),"Stok masuk harus +",IF(AND(C817="Stok keluar",F817&gt;0),"Stok keluar harus -",IF(H817&lt;0,"Stok negatif","OK")))))</f>
        <v/>
      </c>
    </row>
    <row r="818" spans="1:11" x14ac:dyDescent="0.3">
      <c r="A818" s="9" t="str">
        <f t="shared" si="24"/>
        <v/>
      </c>
      <c r="B818" s="10"/>
      <c r="C818" s="5"/>
      <c r="D818" s="5"/>
      <c r="E818" s="11" t="str">
        <f>IF(D818="","",IFERROR(INDEX('Master Produk'!$B$2:$B$101,MATCH(D818,'Master Produk'!$A$2:$A$101,0)),"SKU tidak ada di master"))</f>
        <v/>
      </c>
      <c r="F818" s="6"/>
      <c r="G818" s="12" t="str">
        <f>IF(D818="","",IFERROR(INDEX('Master Produk'!$C$2:$C$101,MATCH(D818,'Master Produk'!$A$2:$A$101,0)),0)+SUMIFS(F$1:F817,D$1:D817,D818))</f>
        <v/>
      </c>
      <c r="H818" s="12" t="str">
        <f t="shared" si="25"/>
        <v/>
      </c>
      <c r="I818" s="5"/>
      <c r="J818" s="5"/>
      <c r="K818" s="11" t="str">
        <f>IF(D818="","",IF(ISNA(MATCH(D818,'Master Produk'!$A$2:$A$101,0)),"SKU tidak ada di master",IF(AND(C818="Stok masuk",F818&lt;0),"Stok masuk harus +",IF(AND(C818="Stok keluar",F818&gt;0),"Stok keluar harus -",IF(H818&lt;0,"Stok negatif","OK")))))</f>
        <v/>
      </c>
    </row>
    <row r="819" spans="1:11" x14ac:dyDescent="0.3">
      <c r="A819" s="9" t="str">
        <f t="shared" si="24"/>
        <v/>
      </c>
      <c r="B819" s="10"/>
      <c r="C819" s="5"/>
      <c r="D819" s="5"/>
      <c r="E819" s="11" t="str">
        <f>IF(D819="","",IFERROR(INDEX('Master Produk'!$B$2:$B$101,MATCH(D819,'Master Produk'!$A$2:$A$101,0)),"SKU tidak ada di master"))</f>
        <v/>
      </c>
      <c r="F819" s="6"/>
      <c r="G819" s="12" t="str">
        <f>IF(D819="","",IFERROR(INDEX('Master Produk'!$C$2:$C$101,MATCH(D819,'Master Produk'!$A$2:$A$101,0)),0)+SUMIFS(F$1:F818,D$1:D818,D819))</f>
        <v/>
      </c>
      <c r="H819" s="12" t="str">
        <f t="shared" si="25"/>
        <v/>
      </c>
      <c r="I819" s="5"/>
      <c r="J819" s="5"/>
      <c r="K819" s="11" t="str">
        <f>IF(D819="","",IF(ISNA(MATCH(D819,'Master Produk'!$A$2:$A$101,0)),"SKU tidak ada di master",IF(AND(C819="Stok masuk",F819&lt;0),"Stok masuk harus +",IF(AND(C819="Stok keluar",F819&gt;0),"Stok keluar harus -",IF(H819&lt;0,"Stok negatif","OK")))))</f>
        <v/>
      </c>
    </row>
    <row r="820" spans="1:11" x14ac:dyDescent="0.3">
      <c r="A820" s="9" t="str">
        <f t="shared" si="24"/>
        <v/>
      </c>
      <c r="B820" s="10"/>
      <c r="C820" s="5"/>
      <c r="D820" s="5"/>
      <c r="E820" s="11" t="str">
        <f>IF(D820="","",IFERROR(INDEX('Master Produk'!$B$2:$B$101,MATCH(D820,'Master Produk'!$A$2:$A$101,0)),"SKU tidak ada di master"))</f>
        <v/>
      </c>
      <c r="F820" s="6"/>
      <c r="G820" s="12" t="str">
        <f>IF(D820="","",IFERROR(INDEX('Master Produk'!$C$2:$C$101,MATCH(D820,'Master Produk'!$A$2:$A$101,0)),0)+SUMIFS(F$1:F819,D$1:D819,D820))</f>
        <v/>
      </c>
      <c r="H820" s="12" t="str">
        <f t="shared" si="25"/>
        <v/>
      </c>
      <c r="I820" s="5"/>
      <c r="J820" s="5"/>
      <c r="K820" s="11" t="str">
        <f>IF(D820="","",IF(ISNA(MATCH(D820,'Master Produk'!$A$2:$A$101,0)),"SKU tidak ada di master",IF(AND(C820="Stok masuk",F820&lt;0),"Stok masuk harus +",IF(AND(C820="Stok keluar",F820&gt;0),"Stok keluar harus -",IF(H820&lt;0,"Stok negatif","OK")))))</f>
        <v/>
      </c>
    </row>
    <row r="821" spans="1:11" x14ac:dyDescent="0.3">
      <c r="A821" s="9" t="str">
        <f t="shared" si="24"/>
        <v/>
      </c>
      <c r="B821" s="10"/>
      <c r="C821" s="5"/>
      <c r="D821" s="5"/>
      <c r="E821" s="11" t="str">
        <f>IF(D821="","",IFERROR(INDEX('Master Produk'!$B$2:$B$101,MATCH(D821,'Master Produk'!$A$2:$A$101,0)),"SKU tidak ada di master"))</f>
        <v/>
      </c>
      <c r="F821" s="6"/>
      <c r="G821" s="12" t="str">
        <f>IF(D821="","",IFERROR(INDEX('Master Produk'!$C$2:$C$101,MATCH(D821,'Master Produk'!$A$2:$A$101,0)),0)+SUMIFS(F$1:F820,D$1:D820,D821))</f>
        <v/>
      </c>
      <c r="H821" s="12" t="str">
        <f t="shared" si="25"/>
        <v/>
      </c>
      <c r="I821" s="5"/>
      <c r="J821" s="5"/>
      <c r="K821" s="11" t="str">
        <f>IF(D821="","",IF(ISNA(MATCH(D821,'Master Produk'!$A$2:$A$101,0)),"SKU tidak ada di master",IF(AND(C821="Stok masuk",F821&lt;0),"Stok masuk harus +",IF(AND(C821="Stok keluar",F821&gt;0),"Stok keluar harus -",IF(H821&lt;0,"Stok negatif","OK")))))</f>
        <v/>
      </c>
    </row>
    <row r="822" spans="1:11" x14ac:dyDescent="0.3">
      <c r="A822" s="9" t="str">
        <f t="shared" si="24"/>
        <v/>
      </c>
      <c r="B822" s="10"/>
      <c r="C822" s="5"/>
      <c r="D822" s="5"/>
      <c r="E822" s="11" t="str">
        <f>IF(D822="","",IFERROR(INDEX('Master Produk'!$B$2:$B$101,MATCH(D822,'Master Produk'!$A$2:$A$101,0)),"SKU tidak ada di master"))</f>
        <v/>
      </c>
      <c r="F822" s="6"/>
      <c r="G822" s="12" t="str">
        <f>IF(D822="","",IFERROR(INDEX('Master Produk'!$C$2:$C$101,MATCH(D822,'Master Produk'!$A$2:$A$101,0)),0)+SUMIFS(F$1:F821,D$1:D821,D822))</f>
        <v/>
      </c>
      <c r="H822" s="12" t="str">
        <f t="shared" si="25"/>
        <v/>
      </c>
      <c r="I822" s="5"/>
      <c r="J822" s="5"/>
      <c r="K822" s="11" t="str">
        <f>IF(D822="","",IF(ISNA(MATCH(D822,'Master Produk'!$A$2:$A$101,0)),"SKU tidak ada di master",IF(AND(C822="Stok masuk",F822&lt;0),"Stok masuk harus +",IF(AND(C822="Stok keluar",F822&gt;0),"Stok keluar harus -",IF(H822&lt;0,"Stok negatif","OK")))))</f>
        <v/>
      </c>
    </row>
    <row r="823" spans="1:11" x14ac:dyDescent="0.3">
      <c r="A823" s="9" t="str">
        <f t="shared" si="24"/>
        <v/>
      </c>
      <c r="B823" s="10"/>
      <c r="C823" s="5"/>
      <c r="D823" s="5"/>
      <c r="E823" s="11" t="str">
        <f>IF(D823="","",IFERROR(INDEX('Master Produk'!$B$2:$B$101,MATCH(D823,'Master Produk'!$A$2:$A$101,0)),"SKU tidak ada di master"))</f>
        <v/>
      </c>
      <c r="F823" s="6"/>
      <c r="G823" s="12" t="str">
        <f>IF(D823="","",IFERROR(INDEX('Master Produk'!$C$2:$C$101,MATCH(D823,'Master Produk'!$A$2:$A$101,0)),0)+SUMIFS(F$1:F822,D$1:D822,D823))</f>
        <v/>
      </c>
      <c r="H823" s="12" t="str">
        <f t="shared" si="25"/>
        <v/>
      </c>
      <c r="I823" s="5"/>
      <c r="J823" s="5"/>
      <c r="K823" s="11" t="str">
        <f>IF(D823="","",IF(ISNA(MATCH(D823,'Master Produk'!$A$2:$A$101,0)),"SKU tidak ada di master",IF(AND(C823="Stok masuk",F823&lt;0),"Stok masuk harus +",IF(AND(C823="Stok keluar",F823&gt;0),"Stok keluar harus -",IF(H823&lt;0,"Stok negatif","OK")))))</f>
        <v/>
      </c>
    </row>
    <row r="824" spans="1:11" x14ac:dyDescent="0.3">
      <c r="A824" s="9" t="str">
        <f t="shared" si="24"/>
        <v/>
      </c>
      <c r="B824" s="10"/>
      <c r="C824" s="5"/>
      <c r="D824" s="5"/>
      <c r="E824" s="11" t="str">
        <f>IF(D824="","",IFERROR(INDEX('Master Produk'!$B$2:$B$101,MATCH(D824,'Master Produk'!$A$2:$A$101,0)),"SKU tidak ada di master"))</f>
        <v/>
      </c>
      <c r="F824" s="6"/>
      <c r="G824" s="12" t="str">
        <f>IF(D824="","",IFERROR(INDEX('Master Produk'!$C$2:$C$101,MATCH(D824,'Master Produk'!$A$2:$A$101,0)),0)+SUMIFS(F$1:F823,D$1:D823,D824))</f>
        <v/>
      </c>
      <c r="H824" s="12" t="str">
        <f t="shared" si="25"/>
        <v/>
      </c>
      <c r="I824" s="5"/>
      <c r="J824" s="5"/>
      <c r="K824" s="11" t="str">
        <f>IF(D824="","",IF(ISNA(MATCH(D824,'Master Produk'!$A$2:$A$101,0)),"SKU tidak ada di master",IF(AND(C824="Stok masuk",F824&lt;0),"Stok masuk harus +",IF(AND(C824="Stok keluar",F824&gt;0),"Stok keluar harus -",IF(H824&lt;0,"Stok negatif","OK")))))</f>
        <v/>
      </c>
    </row>
    <row r="825" spans="1:11" x14ac:dyDescent="0.3">
      <c r="A825" s="9" t="str">
        <f t="shared" si="24"/>
        <v/>
      </c>
      <c r="B825" s="10"/>
      <c r="C825" s="5"/>
      <c r="D825" s="5"/>
      <c r="E825" s="11" t="str">
        <f>IF(D825="","",IFERROR(INDEX('Master Produk'!$B$2:$B$101,MATCH(D825,'Master Produk'!$A$2:$A$101,0)),"SKU tidak ada di master"))</f>
        <v/>
      </c>
      <c r="F825" s="6"/>
      <c r="G825" s="12" t="str">
        <f>IF(D825="","",IFERROR(INDEX('Master Produk'!$C$2:$C$101,MATCH(D825,'Master Produk'!$A$2:$A$101,0)),0)+SUMIFS(F$1:F824,D$1:D824,D825))</f>
        <v/>
      </c>
      <c r="H825" s="12" t="str">
        <f t="shared" si="25"/>
        <v/>
      </c>
      <c r="I825" s="5"/>
      <c r="J825" s="5"/>
      <c r="K825" s="11" t="str">
        <f>IF(D825="","",IF(ISNA(MATCH(D825,'Master Produk'!$A$2:$A$101,0)),"SKU tidak ada di master",IF(AND(C825="Stok masuk",F825&lt;0),"Stok masuk harus +",IF(AND(C825="Stok keluar",F825&gt;0),"Stok keluar harus -",IF(H825&lt;0,"Stok negatif","OK")))))</f>
        <v/>
      </c>
    </row>
    <row r="826" spans="1:11" x14ac:dyDescent="0.3">
      <c r="A826" s="9" t="str">
        <f t="shared" si="24"/>
        <v/>
      </c>
      <c r="B826" s="10"/>
      <c r="C826" s="5"/>
      <c r="D826" s="5"/>
      <c r="E826" s="11" t="str">
        <f>IF(D826="","",IFERROR(INDEX('Master Produk'!$B$2:$B$101,MATCH(D826,'Master Produk'!$A$2:$A$101,0)),"SKU tidak ada di master"))</f>
        <v/>
      </c>
      <c r="F826" s="6"/>
      <c r="G826" s="12" t="str">
        <f>IF(D826="","",IFERROR(INDEX('Master Produk'!$C$2:$C$101,MATCH(D826,'Master Produk'!$A$2:$A$101,0)),0)+SUMIFS(F$1:F825,D$1:D825,D826))</f>
        <v/>
      </c>
      <c r="H826" s="12" t="str">
        <f t="shared" si="25"/>
        <v/>
      </c>
      <c r="I826" s="5"/>
      <c r="J826" s="5"/>
      <c r="K826" s="11" t="str">
        <f>IF(D826="","",IF(ISNA(MATCH(D826,'Master Produk'!$A$2:$A$101,0)),"SKU tidak ada di master",IF(AND(C826="Stok masuk",F826&lt;0),"Stok masuk harus +",IF(AND(C826="Stok keluar",F826&gt;0),"Stok keluar harus -",IF(H826&lt;0,"Stok negatif","OK")))))</f>
        <v/>
      </c>
    </row>
    <row r="827" spans="1:11" x14ac:dyDescent="0.3">
      <c r="A827" s="9" t="str">
        <f t="shared" si="24"/>
        <v/>
      </c>
      <c r="B827" s="10"/>
      <c r="C827" s="5"/>
      <c r="D827" s="5"/>
      <c r="E827" s="11" t="str">
        <f>IF(D827="","",IFERROR(INDEX('Master Produk'!$B$2:$B$101,MATCH(D827,'Master Produk'!$A$2:$A$101,0)),"SKU tidak ada di master"))</f>
        <v/>
      </c>
      <c r="F827" s="6"/>
      <c r="G827" s="12" t="str">
        <f>IF(D827="","",IFERROR(INDEX('Master Produk'!$C$2:$C$101,MATCH(D827,'Master Produk'!$A$2:$A$101,0)),0)+SUMIFS(F$1:F826,D$1:D826,D827))</f>
        <v/>
      </c>
      <c r="H827" s="12" t="str">
        <f t="shared" si="25"/>
        <v/>
      </c>
      <c r="I827" s="5"/>
      <c r="J827" s="5"/>
      <c r="K827" s="11" t="str">
        <f>IF(D827="","",IF(ISNA(MATCH(D827,'Master Produk'!$A$2:$A$101,0)),"SKU tidak ada di master",IF(AND(C827="Stok masuk",F827&lt;0),"Stok masuk harus +",IF(AND(C827="Stok keluar",F827&gt;0),"Stok keluar harus -",IF(H827&lt;0,"Stok negatif","OK")))))</f>
        <v/>
      </c>
    </row>
    <row r="828" spans="1:11" x14ac:dyDescent="0.3">
      <c r="A828" s="9" t="str">
        <f t="shared" si="24"/>
        <v/>
      </c>
      <c r="B828" s="10"/>
      <c r="C828" s="5"/>
      <c r="D828" s="5"/>
      <c r="E828" s="11" t="str">
        <f>IF(D828="","",IFERROR(INDEX('Master Produk'!$B$2:$B$101,MATCH(D828,'Master Produk'!$A$2:$A$101,0)),"SKU tidak ada di master"))</f>
        <v/>
      </c>
      <c r="F828" s="6"/>
      <c r="G828" s="12" t="str">
        <f>IF(D828="","",IFERROR(INDEX('Master Produk'!$C$2:$C$101,MATCH(D828,'Master Produk'!$A$2:$A$101,0)),0)+SUMIFS(F$1:F827,D$1:D827,D828))</f>
        <v/>
      </c>
      <c r="H828" s="12" t="str">
        <f t="shared" si="25"/>
        <v/>
      </c>
      <c r="I828" s="5"/>
      <c r="J828" s="5"/>
      <c r="K828" s="11" t="str">
        <f>IF(D828="","",IF(ISNA(MATCH(D828,'Master Produk'!$A$2:$A$101,0)),"SKU tidak ada di master",IF(AND(C828="Stok masuk",F828&lt;0),"Stok masuk harus +",IF(AND(C828="Stok keluar",F828&gt;0),"Stok keluar harus -",IF(H828&lt;0,"Stok negatif","OK")))))</f>
        <v/>
      </c>
    </row>
    <row r="829" spans="1:11" x14ac:dyDescent="0.3">
      <c r="A829" s="9" t="str">
        <f t="shared" si="24"/>
        <v/>
      </c>
      <c r="B829" s="10"/>
      <c r="C829" s="5"/>
      <c r="D829" s="5"/>
      <c r="E829" s="11" t="str">
        <f>IF(D829="","",IFERROR(INDEX('Master Produk'!$B$2:$B$101,MATCH(D829,'Master Produk'!$A$2:$A$101,0)),"SKU tidak ada di master"))</f>
        <v/>
      </c>
      <c r="F829" s="6"/>
      <c r="G829" s="12" t="str">
        <f>IF(D829="","",IFERROR(INDEX('Master Produk'!$C$2:$C$101,MATCH(D829,'Master Produk'!$A$2:$A$101,0)),0)+SUMIFS(F$1:F828,D$1:D828,D829))</f>
        <v/>
      </c>
      <c r="H829" s="12" t="str">
        <f t="shared" si="25"/>
        <v/>
      </c>
      <c r="I829" s="5"/>
      <c r="J829" s="5"/>
      <c r="K829" s="11" t="str">
        <f>IF(D829="","",IF(ISNA(MATCH(D829,'Master Produk'!$A$2:$A$101,0)),"SKU tidak ada di master",IF(AND(C829="Stok masuk",F829&lt;0),"Stok masuk harus +",IF(AND(C829="Stok keluar",F829&gt;0),"Stok keluar harus -",IF(H829&lt;0,"Stok negatif","OK")))))</f>
        <v/>
      </c>
    </row>
    <row r="830" spans="1:11" x14ac:dyDescent="0.3">
      <c r="A830" s="9" t="str">
        <f t="shared" si="24"/>
        <v/>
      </c>
      <c r="B830" s="10"/>
      <c r="C830" s="5"/>
      <c r="D830" s="5"/>
      <c r="E830" s="11" t="str">
        <f>IF(D830="","",IFERROR(INDEX('Master Produk'!$B$2:$B$101,MATCH(D830,'Master Produk'!$A$2:$A$101,0)),"SKU tidak ada di master"))</f>
        <v/>
      </c>
      <c r="F830" s="6"/>
      <c r="G830" s="12" t="str">
        <f>IF(D830="","",IFERROR(INDEX('Master Produk'!$C$2:$C$101,MATCH(D830,'Master Produk'!$A$2:$A$101,0)),0)+SUMIFS(F$1:F829,D$1:D829,D830))</f>
        <v/>
      </c>
      <c r="H830" s="12" t="str">
        <f t="shared" si="25"/>
        <v/>
      </c>
      <c r="I830" s="5"/>
      <c r="J830" s="5"/>
      <c r="K830" s="11" t="str">
        <f>IF(D830="","",IF(ISNA(MATCH(D830,'Master Produk'!$A$2:$A$101,0)),"SKU tidak ada di master",IF(AND(C830="Stok masuk",F830&lt;0),"Stok masuk harus +",IF(AND(C830="Stok keluar",F830&gt;0),"Stok keluar harus -",IF(H830&lt;0,"Stok negatif","OK")))))</f>
        <v/>
      </c>
    </row>
    <row r="831" spans="1:11" x14ac:dyDescent="0.3">
      <c r="A831" s="9" t="str">
        <f t="shared" si="24"/>
        <v/>
      </c>
      <c r="B831" s="10"/>
      <c r="C831" s="5"/>
      <c r="D831" s="5"/>
      <c r="E831" s="11" t="str">
        <f>IF(D831="","",IFERROR(INDEX('Master Produk'!$B$2:$B$101,MATCH(D831,'Master Produk'!$A$2:$A$101,0)),"SKU tidak ada di master"))</f>
        <v/>
      </c>
      <c r="F831" s="6"/>
      <c r="G831" s="12" t="str">
        <f>IF(D831="","",IFERROR(INDEX('Master Produk'!$C$2:$C$101,MATCH(D831,'Master Produk'!$A$2:$A$101,0)),0)+SUMIFS(F$1:F830,D$1:D830,D831))</f>
        <v/>
      </c>
      <c r="H831" s="12" t="str">
        <f t="shared" si="25"/>
        <v/>
      </c>
      <c r="I831" s="5"/>
      <c r="J831" s="5"/>
      <c r="K831" s="11" t="str">
        <f>IF(D831="","",IF(ISNA(MATCH(D831,'Master Produk'!$A$2:$A$101,0)),"SKU tidak ada di master",IF(AND(C831="Stok masuk",F831&lt;0),"Stok masuk harus +",IF(AND(C831="Stok keluar",F831&gt;0),"Stok keluar harus -",IF(H831&lt;0,"Stok negatif","OK")))))</f>
        <v/>
      </c>
    </row>
    <row r="832" spans="1:11" x14ac:dyDescent="0.3">
      <c r="A832" s="9" t="str">
        <f t="shared" si="24"/>
        <v/>
      </c>
      <c r="B832" s="10"/>
      <c r="C832" s="5"/>
      <c r="D832" s="5"/>
      <c r="E832" s="11" t="str">
        <f>IF(D832="","",IFERROR(INDEX('Master Produk'!$B$2:$B$101,MATCH(D832,'Master Produk'!$A$2:$A$101,0)),"SKU tidak ada di master"))</f>
        <v/>
      </c>
      <c r="F832" s="6"/>
      <c r="G832" s="12" t="str">
        <f>IF(D832="","",IFERROR(INDEX('Master Produk'!$C$2:$C$101,MATCH(D832,'Master Produk'!$A$2:$A$101,0)),0)+SUMIFS(F$1:F831,D$1:D831,D832))</f>
        <v/>
      </c>
      <c r="H832" s="12" t="str">
        <f t="shared" si="25"/>
        <v/>
      </c>
      <c r="I832" s="5"/>
      <c r="J832" s="5"/>
      <c r="K832" s="11" t="str">
        <f>IF(D832="","",IF(ISNA(MATCH(D832,'Master Produk'!$A$2:$A$101,0)),"SKU tidak ada di master",IF(AND(C832="Stok masuk",F832&lt;0),"Stok masuk harus +",IF(AND(C832="Stok keluar",F832&gt;0),"Stok keluar harus -",IF(H832&lt;0,"Stok negatif","OK")))))</f>
        <v/>
      </c>
    </row>
    <row r="833" spans="1:11" x14ac:dyDescent="0.3">
      <c r="A833" s="9" t="str">
        <f t="shared" si="24"/>
        <v/>
      </c>
      <c r="B833" s="10"/>
      <c r="C833" s="5"/>
      <c r="D833" s="5"/>
      <c r="E833" s="11" t="str">
        <f>IF(D833="","",IFERROR(INDEX('Master Produk'!$B$2:$B$101,MATCH(D833,'Master Produk'!$A$2:$A$101,0)),"SKU tidak ada di master"))</f>
        <v/>
      </c>
      <c r="F833" s="6"/>
      <c r="G833" s="12" t="str">
        <f>IF(D833="","",IFERROR(INDEX('Master Produk'!$C$2:$C$101,MATCH(D833,'Master Produk'!$A$2:$A$101,0)),0)+SUMIFS(F$1:F832,D$1:D832,D833))</f>
        <v/>
      </c>
      <c r="H833" s="12" t="str">
        <f t="shared" si="25"/>
        <v/>
      </c>
      <c r="I833" s="5"/>
      <c r="J833" s="5"/>
      <c r="K833" s="11" t="str">
        <f>IF(D833="","",IF(ISNA(MATCH(D833,'Master Produk'!$A$2:$A$101,0)),"SKU tidak ada di master",IF(AND(C833="Stok masuk",F833&lt;0),"Stok masuk harus +",IF(AND(C833="Stok keluar",F833&gt;0),"Stok keluar harus -",IF(H833&lt;0,"Stok negatif","OK")))))</f>
        <v/>
      </c>
    </row>
    <row r="834" spans="1:11" x14ac:dyDescent="0.3">
      <c r="A834" s="9" t="str">
        <f t="shared" ref="A834:A897" si="26">IF(D834="","",ROW()-1)</f>
        <v/>
      </c>
      <c r="B834" s="10"/>
      <c r="C834" s="5"/>
      <c r="D834" s="5"/>
      <c r="E834" s="11" t="str">
        <f>IF(D834="","",IFERROR(INDEX('Master Produk'!$B$2:$B$101,MATCH(D834,'Master Produk'!$A$2:$A$101,0)),"SKU tidak ada di master"))</f>
        <v/>
      </c>
      <c r="F834" s="6"/>
      <c r="G834" s="12" t="str">
        <f>IF(D834="","",IFERROR(INDEX('Master Produk'!$C$2:$C$101,MATCH(D834,'Master Produk'!$A$2:$A$101,0)),0)+SUMIFS(F$1:F833,D$1:D833,D834))</f>
        <v/>
      </c>
      <c r="H834" s="12" t="str">
        <f t="shared" ref="H834:H897" si="27">IF(D834="","",G834+F834)</f>
        <v/>
      </c>
      <c r="I834" s="5"/>
      <c r="J834" s="5"/>
      <c r="K834" s="11" t="str">
        <f>IF(D834="","",IF(ISNA(MATCH(D834,'Master Produk'!$A$2:$A$101,0)),"SKU tidak ada di master",IF(AND(C834="Stok masuk",F834&lt;0),"Stok masuk harus +",IF(AND(C834="Stok keluar",F834&gt;0),"Stok keluar harus -",IF(H834&lt;0,"Stok negatif","OK")))))</f>
        <v/>
      </c>
    </row>
    <row r="835" spans="1:11" x14ac:dyDescent="0.3">
      <c r="A835" s="9" t="str">
        <f t="shared" si="26"/>
        <v/>
      </c>
      <c r="B835" s="10"/>
      <c r="C835" s="5"/>
      <c r="D835" s="5"/>
      <c r="E835" s="11" t="str">
        <f>IF(D835="","",IFERROR(INDEX('Master Produk'!$B$2:$B$101,MATCH(D835,'Master Produk'!$A$2:$A$101,0)),"SKU tidak ada di master"))</f>
        <v/>
      </c>
      <c r="F835" s="6"/>
      <c r="G835" s="12" t="str">
        <f>IF(D835="","",IFERROR(INDEX('Master Produk'!$C$2:$C$101,MATCH(D835,'Master Produk'!$A$2:$A$101,0)),0)+SUMIFS(F$1:F834,D$1:D834,D835))</f>
        <v/>
      </c>
      <c r="H835" s="12" t="str">
        <f t="shared" si="27"/>
        <v/>
      </c>
      <c r="I835" s="5"/>
      <c r="J835" s="5"/>
      <c r="K835" s="11" t="str">
        <f>IF(D835="","",IF(ISNA(MATCH(D835,'Master Produk'!$A$2:$A$101,0)),"SKU tidak ada di master",IF(AND(C835="Stok masuk",F835&lt;0),"Stok masuk harus +",IF(AND(C835="Stok keluar",F835&gt;0),"Stok keluar harus -",IF(H835&lt;0,"Stok negatif","OK")))))</f>
        <v/>
      </c>
    </row>
    <row r="836" spans="1:11" x14ac:dyDescent="0.3">
      <c r="A836" s="9" t="str">
        <f t="shared" si="26"/>
        <v/>
      </c>
      <c r="B836" s="10"/>
      <c r="C836" s="5"/>
      <c r="D836" s="5"/>
      <c r="E836" s="11" t="str">
        <f>IF(D836="","",IFERROR(INDEX('Master Produk'!$B$2:$B$101,MATCH(D836,'Master Produk'!$A$2:$A$101,0)),"SKU tidak ada di master"))</f>
        <v/>
      </c>
      <c r="F836" s="6"/>
      <c r="G836" s="12" t="str">
        <f>IF(D836="","",IFERROR(INDEX('Master Produk'!$C$2:$C$101,MATCH(D836,'Master Produk'!$A$2:$A$101,0)),0)+SUMIFS(F$1:F835,D$1:D835,D836))</f>
        <v/>
      </c>
      <c r="H836" s="12" t="str">
        <f t="shared" si="27"/>
        <v/>
      </c>
      <c r="I836" s="5"/>
      <c r="J836" s="5"/>
      <c r="K836" s="11" t="str">
        <f>IF(D836="","",IF(ISNA(MATCH(D836,'Master Produk'!$A$2:$A$101,0)),"SKU tidak ada di master",IF(AND(C836="Stok masuk",F836&lt;0),"Stok masuk harus +",IF(AND(C836="Stok keluar",F836&gt;0),"Stok keluar harus -",IF(H836&lt;0,"Stok negatif","OK")))))</f>
        <v/>
      </c>
    </row>
    <row r="837" spans="1:11" x14ac:dyDescent="0.3">
      <c r="A837" s="9" t="str">
        <f t="shared" si="26"/>
        <v/>
      </c>
      <c r="B837" s="10"/>
      <c r="C837" s="5"/>
      <c r="D837" s="5"/>
      <c r="E837" s="11" t="str">
        <f>IF(D837="","",IFERROR(INDEX('Master Produk'!$B$2:$B$101,MATCH(D837,'Master Produk'!$A$2:$A$101,0)),"SKU tidak ada di master"))</f>
        <v/>
      </c>
      <c r="F837" s="6"/>
      <c r="G837" s="12" t="str">
        <f>IF(D837="","",IFERROR(INDEX('Master Produk'!$C$2:$C$101,MATCH(D837,'Master Produk'!$A$2:$A$101,0)),0)+SUMIFS(F$1:F836,D$1:D836,D837))</f>
        <v/>
      </c>
      <c r="H837" s="12" t="str">
        <f t="shared" si="27"/>
        <v/>
      </c>
      <c r="I837" s="5"/>
      <c r="J837" s="5"/>
      <c r="K837" s="11" t="str">
        <f>IF(D837="","",IF(ISNA(MATCH(D837,'Master Produk'!$A$2:$A$101,0)),"SKU tidak ada di master",IF(AND(C837="Stok masuk",F837&lt;0),"Stok masuk harus +",IF(AND(C837="Stok keluar",F837&gt;0),"Stok keluar harus -",IF(H837&lt;0,"Stok negatif","OK")))))</f>
        <v/>
      </c>
    </row>
    <row r="838" spans="1:11" x14ac:dyDescent="0.3">
      <c r="A838" s="9" t="str">
        <f t="shared" si="26"/>
        <v/>
      </c>
      <c r="B838" s="10"/>
      <c r="C838" s="5"/>
      <c r="D838" s="5"/>
      <c r="E838" s="11" t="str">
        <f>IF(D838="","",IFERROR(INDEX('Master Produk'!$B$2:$B$101,MATCH(D838,'Master Produk'!$A$2:$A$101,0)),"SKU tidak ada di master"))</f>
        <v/>
      </c>
      <c r="F838" s="6"/>
      <c r="G838" s="12" t="str">
        <f>IF(D838="","",IFERROR(INDEX('Master Produk'!$C$2:$C$101,MATCH(D838,'Master Produk'!$A$2:$A$101,0)),0)+SUMIFS(F$1:F837,D$1:D837,D838))</f>
        <v/>
      </c>
      <c r="H838" s="12" t="str">
        <f t="shared" si="27"/>
        <v/>
      </c>
      <c r="I838" s="5"/>
      <c r="J838" s="5"/>
      <c r="K838" s="11" t="str">
        <f>IF(D838="","",IF(ISNA(MATCH(D838,'Master Produk'!$A$2:$A$101,0)),"SKU tidak ada di master",IF(AND(C838="Stok masuk",F838&lt;0),"Stok masuk harus +",IF(AND(C838="Stok keluar",F838&gt;0),"Stok keluar harus -",IF(H838&lt;0,"Stok negatif","OK")))))</f>
        <v/>
      </c>
    </row>
    <row r="839" spans="1:11" x14ac:dyDescent="0.3">
      <c r="A839" s="9" t="str">
        <f t="shared" si="26"/>
        <v/>
      </c>
      <c r="B839" s="10"/>
      <c r="C839" s="5"/>
      <c r="D839" s="5"/>
      <c r="E839" s="11" t="str">
        <f>IF(D839="","",IFERROR(INDEX('Master Produk'!$B$2:$B$101,MATCH(D839,'Master Produk'!$A$2:$A$101,0)),"SKU tidak ada di master"))</f>
        <v/>
      </c>
      <c r="F839" s="6"/>
      <c r="G839" s="12" t="str">
        <f>IF(D839="","",IFERROR(INDEX('Master Produk'!$C$2:$C$101,MATCH(D839,'Master Produk'!$A$2:$A$101,0)),0)+SUMIFS(F$1:F838,D$1:D838,D839))</f>
        <v/>
      </c>
      <c r="H839" s="12" t="str">
        <f t="shared" si="27"/>
        <v/>
      </c>
      <c r="I839" s="5"/>
      <c r="J839" s="5"/>
      <c r="K839" s="11" t="str">
        <f>IF(D839="","",IF(ISNA(MATCH(D839,'Master Produk'!$A$2:$A$101,0)),"SKU tidak ada di master",IF(AND(C839="Stok masuk",F839&lt;0),"Stok masuk harus +",IF(AND(C839="Stok keluar",F839&gt;0),"Stok keluar harus -",IF(H839&lt;0,"Stok negatif","OK")))))</f>
        <v/>
      </c>
    </row>
    <row r="840" spans="1:11" x14ac:dyDescent="0.3">
      <c r="A840" s="9" t="str">
        <f t="shared" si="26"/>
        <v/>
      </c>
      <c r="B840" s="10"/>
      <c r="C840" s="5"/>
      <c r="D840" s="5"/>
      <c r="E840" s="11" t="str">
        <f>IF(D840="","",IFERROR(INDEX('Master Produk'!$B$2:$B$101,MATCH(D840,'Master Produk'!$A$2:$A$101,0)),"SKU tidak ada di master"))</f>
        <v/>
      </c>
      <c r="F840" s="6"/>
      <c r="G840" s="12" t="str">
        <f>IF(D840="","",IFERROR(INDEX('Master Produk'!$C$2:$C$101,MATCH(D840,'Master Produk'!$A$2:$A$101,0)),0)+SUMIFS(F$1:F839,D$1:D839,D840))</f>
        <v/>
      </c>
      <c r="H840" s="12" t="str">
        <f t="shared" si="27"/>
        <v/>
      </c>
      <c r="I840" s="5"/>
      <c r="J840" s="5"/>
      <c r="K840" s="11" t="str">
        <f>IF(D840="","",IF(ISNA(MATCH(D840,'Master Produk'!$A$2:$A$101,0)),"SKU tidak ada di master",IF(AND(C840="Stok masuk",F840&lt;0),"Stok masuk harus +",IF(AND(C840="Stok keluar",F840&gt;0),"Stok keluar harus -",IF(H840&lt;0,"Stok negatif","OK")))))</f>
        <v/>
      </c>
    </row>
    <row r="841" spans="1:11" x14ac:dyDescent="0.3">
      <c r="A841" s="9" t="str">
        <f t="shared" si="26"/>
        <v/>
      </c>
      <c r="B841" s="10"/>
      <c r="C841" s="5"/>
      <c r="D841" s="5"/>
      <c r="E841" s="11" t="str">
        <f>IF(D841="","",IFERROR(INDEX('Master Produk'!$B$2:$B$101,MATCH(D841,'Master Produk'!$A$2:$A$101,0)),"SKU tidak ada di master"))</f>
        <v/>
      </c>
      <c r="F841" s="6"/>
      <c r="G841" s="12" t="str">
        <f>IF(D841="","",IFERROR(INDEX('Master Produk'!$C$2:$C$101,MATCH(D841,'Master Produk'!$A$2:$A$101,0)),0)+SUMIFS(F$1:F840,D$1:D840,D841))</f>
        <v/>
      </c>
      <c r="H841" s="12" t="str">
        <f t="shared" si="27"/>
        <v/>
      </c>
      <c r="I841" s="5"/>
      <c r="J841" s="5"/>
      <c r="K841" s="11" t="str">
        <f>IF(D841="","",IF(ISNA(MATCH(D841,'Master Produk'!$A$2:$A$101,0)),"SKU tidak ada di master",IF(AND(C841="Stok masuk",F841&lt;0),"Stok masuk harus +",IF(AND(C841="Stok keluar",F841&gt;0),"Stok keluar harus -",IF(H841&lt;0,"Stok negatif","OK")))))</f>
        <v/>
      </c>
    </row>
    <row r="842" spans="1:11" x14ac:dyDescent="0.3">
      <c r="A842" s="9" t="str">
        <f t="shared" si="26"/>
        <v/>
      </c>
      <c r="B842" s="10"/>
      <c r="C842" s="5"/>
      <c r="D842" s="5"/>
      <c r="E842" s="11" t="str">
        <f>IF(D842="","",IFERROR(INDEX('Master Produk'!$B$2:$B$101,MATCH(D842,'Master Produk'!$A$2:$A$101,0)),"SKU tidak ada di master"))</f>
        <v/>
      </c>
      <c r="F842" s="6"/>
      <c r="G842" s="12" t="str">
        <f>IF(D842="","",IFERROR(INDEX('Master Produk'!$C$2:$C$101,MATCH(D842,'Master Produk'!$A$2:$A$101,0)),0)+SUMIFS(F$1:F841,D$1:D841,D842))</f>
        <v/>
      </c>
      <c r="H842" s="12" t="str">
        <f t="shared" si="27"/>
        <v/>
      </c>
      <c r="I842" s="5"/>
      <c r="J842" s="5"/>
      <c r="K842" s="11" t="str">
        <f>IF(D842="","",IF(ISNA(MATCH(D842,'Master Produk'!$A$2:$A$101,0)),"SKU tidak ada di master",IF(AND(C842="Stok masuk",F842&lt;0),"Stok masuk harus +",IF(AND(C842="Stok keluar",F842&gt;0),"Stok keluar harus -",IF(H842&lt;0,"Stok negatif","OK")))))</f>
        <v/>
      </c>
    </row>
    <row r="843" spans="1:11" x14ac:dyDescent="0.3">
      <c r="A843" s="9" t="str">
        <f t="shared" si="26"/>
        <v/>
      </c>
      <c r="B843" s="10"/>
      <c r="C843" s="5"/>
      <c r="D843" s="5"/>
      <c r="E843" s="11" t="str">
        <f>IF(D843="","",IFERROR(INDEX('Master Produk'!$B$2:$B$101,MATCH(D843,'Master Produk'!$A$2:$A$101,0)),"SKU tidak ada di master"))</f>
        <v/>
      </c>
      <c r="F843" s="6"/>
      <c r="G843" s="12" t="str">
        <f>IF(D843="","",IFERROR(INDEX('Master Produk'!$C$2:$C$101,MATCH(D843,'Master Produk'!$A$2:$A$101,0)),0)+SUMIFS(F$1:F842,D$1:D842,D843))</f>
        <v/>
      </c>
      <c r="H843" s="12" t="str">
        <f t="shared" si="27"/>
        <v/>
      </c>
      <c r="I843" s="5"/>
      <c r="J843" s="5"/>
      <c r="K843" s="11" t="str">
        <f>IF(D843="","",IF(ISNA(MATCH(D843,'Master Produk'!$A$2:$A$101,0)),"SKU tidak ada di master",IF(AND(C843="Stok masuk",F843&lt;0),"Stok masuk harus +",IF(AND(C843="Stok keluar",F843&gt;0),"Stok keluar harus -",IF(H843&lt;0,"Stok negatif","OK")))))</f>
        <v/>
      </c>
    </row>
    <row r="844" spans="1:11" x14ac:dyDescent="0.3">
      <c r="A844" s="9" t="str">
        <f t="shared" si="26"/>
        <v/>
      </c>
      <c r="B844" s="10"/>
      <c r="C844" s="5"/>
      <c r="D844" s="5"/>
      <c r="E844" s="11" t="str">
        <f>IF(D844="","",IFERROR(INDEX('Master Produk'!$B$2:$B$101,MATCH(D844,'Master Produk'!$A$2:$A$101,0)),"SKU tidak ada di master"))</f>
        <v/>
      </c>
      <c r="F844" s="6"/>
      <c r="G844" s="12" t="str">
        <f>IF(D844="","",IFERROR(INDEX('Master Produk'!$C$2:$C$101,MATCH(D844,'Master Produk'!$A$2:$A$101,0)),0)+SUMIFS(F$1:F843,D$1:D843,D844))</f>
        <v/>
      </c>
      <c r="H844" s="12" t="str">
        <f t="shared" si="27"/>
        <v/>
      </c>
      <c r="I844" s="5"/>
      <c r="J844" s="5"/>
      <c r="K844" s="11" t="str">
        <f>IF(D844="","",IF(ISNA(MATCH(D844,'Master Produk'!$A$2:$A$101,0)),"SKU tidak ada di master",IF(AND(C844="Stok masuk",F844&lt;0),"Stok masuk harus +",IF(AND(C844="Stok keluar",F844&gt;0),"Stok keluar harus -",IF(H844&lt;0,"Stok negatif","OK")))))</f>
        <v/>
      </c>
    </row>
    <row r="845" spans="1:11" x14ac:dyDescent="0.3">
      <c r="A845" s="9" t="str">
        <f t="shared" si="26"/>
        <v/>
      </c>
      <c r="B845" s="10"/>
      <c r="C845" s="5"/>
      <c r="D845" s="5"/>
      <c r="E845" s="11" t="str">
        <f>IF(D845="","",IFERROR(INDEX('Master Produk'!$B$2:$B$101,MATCH(D845,'Master Produk'!$A$2:$A$101,0)),"SKU tidak ada di master"))</f>
        <v/>
      </c>
      <c r="F845" s="6"/>
      <c r="G845" s="12" t="str">
        <f>IF(D845="","",IFERROR(INDEX('Master Produk'!$C$2:$C$101,MATCH(D845,'Master Produk'!$A$2:$A$101,0)),0)+SUMIFS(F$1:F844,D$1:D844,D845))</f>
        <v/>
      </c>
      <c r="H845" s="12" t="str">
        <f t="shared" si="27"/>
        <v/>
      </c>
      <c r="I845" s="5"/>
      <c r="J845" s="5"/>
      <c r="K845" s="11" t="str">
        <f>IF(D845="","",IF(ISNA(MATCH(D845,'Master Produk'!$A$2:$A$101,0)),"SKU tidak ada di master",IF(AND(C845="Stok masuk",F845&lt;0),"Stok masuk harus +",IF(AND(C845="Stok keluar",F845&gt;0),"Stok keluar harus -",IF(H845&lt;0,"Stok negatif","OK")))))</f>
        <v/>
      </c>
    </row>
    <row r="846" spans="1:11" x14ac:dyDescent="0.3">
      <c r="A846" s="9" t="str">
        <f t="shared" si="26"/>
        <v/>
      </c>
      <c r="B846" s="10"/>
      <c r="C846" s="5"/>
      <c r="D846" s="5"/>
      <c r="E846" s="11" t="str">
        <f>IF(D846="","",IFERROR(INDEX('Master Produk'!$B$2:$B$101,MATCH(D846,'Master Produk'!$A$2:$A$101,0)),"SKU tidak ada di master"))</f>
        <v/>
      </c>
      <c r="F846" s="6"/>
      <c r="G846" s="12" t="str">
        <f>IF(D846="","",IFERROR(INDEX('Master Produk'!$C$2:$C$101,MATCH(D846,'Master Produk'!$A$2:$A$101,0)),0)+SUMIFS(F$1:F845,D$1:D845,D846))</f>
        <v/>
      </c>
      <c r="H846" s="12" t="str">
        <f t="shared" si="27"/>
        <v/>
      </c>
      <c r="I846" s="5"/>
      <c r="J846" s="5"/>
      <c r="K846" s="11" t="str">
        <f>IF(D846="","",IF(ISNA(MATCH(D846,'Master Produk'!$A$2:$A$101,0)),"SKU tidak ada di master",IF(AND(C846="Stok masuk",F846&lt;0),"Stok masuk harus +",IF(AND(C846="Stok keluar",F846&gt;0),"Stok keluar harus -",IF(H846&lt;0,"Stok negatif","OK")))))</f>
        <v/>
      </c>
    </row>
    <row r="847" spans="1:11" x14ac:dyDescent="0.3">
      <c r="A847" s="9" t="str">
        <f t="shared" si="26"/>
        <v/>
      </c>
      <c r="B847" s="10"/>
      <c r="C847" s="5"/>
      <c r="D847" s="5"/>
      <c r="E847" s="11" t="str">
        <f>IF(D847="","",IFERROR(INDEX('Master Produk'!$B$2:$B$101,MATCH(D847,'Master Produk'!$A$2:$A$101,0)),"SKU tidak ada di master"))</f>
        <v/>
      </c>
      <c r="F847" s="6"/>
      <c r="G847" s="12" t="str">
        <f>IF(D847="","",IFERROR(INDEX('Master Produk'!$C$2:$C$101,MATCH(D847,'Master Produk'!$A$2:$A$101,0)),0)+SUMIFS(F$1:F846,D$1:D846,D847))</f>
        <v/>
      </c>
      <c r="H847" s="12" t="str">
        <f t="shared" si="27"/>
        <v/>
      </c>
      <c r="I847" s="5"/>
      <c r="J847" s="5"/>
      <c r="K847" s="11" t="str">
        <f>IF(D847="","",IF(ISNA(MATCH(D847,'Master Produk'!$A$2:$A$101,0)),"SKU tidak ada di master",IF(AND(C847="Stok masuk",F847&lt;0),"Stok masuk harus +",IF(AND(C847="Stok keluar",F847&gt;0),"Stok keluar harus -",IF(H847&lt;0,"Stok negatif","OK")))))</f>
        <v/>
      </c>
    </row>
    <row r="848" spans="1:11" x14ac:dyDescent="0.3">
      <c r="A848" s="9" t="str">
        <f t="shared" si="26"/>
        <v/>
      </c>
      <c r="B848" s="10"/>
      <c r="C848" s="5"/>
      <c r="D848" s="5"/>
      <c r="E848" s="11" t="str">
        <f>IF(D848="","",IFERROR(INDEX('Master Produk'!$B$2:$B$101,MATCH(D848,'Master Produk'!$A$2:$A$101,0)),"SKU tidak ada di master"))</f>
        <v/>
      </c>
      <c r="F848" s="6"/>
      <c r="G848" s="12" t="str">
        <f>IF(D848="","",IFERROR(INDEX('Master Produk'!$C$2:$C$101,MATCH(D848,'Master Produk'!$A$2:$A$101,0)),0)+SUMIFS(F$1:F847,D$1:D847,D848))</f>
        <v/>
      </c>
      <c r="H848" s="12" t="str">
        <f t="shared" si="27"/>
        <v/>
      </c>
      <c r="I848" s="5"/>
      <c r="J848" s="5"/>
      <c r="K848" s="11" t="str">
        <f>IF(D848="","",IF(ISNA(MATCH(D848,'Master Produk'!$A$2:$A$101,0)),"SKU tidak ada di master",IF(AND(C848="Stok masuk",F848&lt;0),"Stok masuk harus +",IF(AND(C848="Stok keluar",F848&gt;0),"Stok keluar harus -",IF(H848&lt;0,"Stok negatif","OK")))))</f>
        <v/>
      </c>
    </row>
    <row r="849" spans="1:11" x14ac:dyDescent="0.3">
      <c r="A849" s="9" t="str">
        <f t="shared" si="26"/>
        <v/>
      </c>
      <c r="B849" s="10"/>
      <c r="C849" s="5"/>
      <c r="D849" s="5"/>
      <c r="E849" s="11" t="str">
        <f>IF(D849="","",IFERROR(INDEX('Master Produk'!$B$2:$B$101,MATCH(D849,'Master Produk'!$A$2:$A$101,0)),"SKU tidak ada di master"))</f>
        <v/>
      </c>
      <c r="F849" s="6"/>
      <c r="G849" s="12" t="str">
        <f>IF(D849="","",IFERROR(INDEX('Master Produk'!$C$2:$C$101,MATCH(D849,'Master Produk'!$A$2:$A$101,0)),0)+SUMIFS(F$1:F848,D$1:D848,D849))</f>
        <v/>
      </c>
      <c r="H849" s="12" t="str">
        <f t="shared" si="27"/>
        <v/>
      </c>
      <c r="I849" s="5"/>
      <c r="J849" s="5"/>
      <c r="K849" s="11" t="str">
        <f>IF(D849="","",IF(ISNA(MATCH(D849,'Master Produk'!$A$2:$A$101,0)),"SKU tidak ada di master",IF(AND(C849="Stok masuk",F849&lt;0),"Stok masuk harus +",IF(AND(C849="Stok keluar",F849&gt;0),"Stok keluar harus -",IF(H849&lt;0,"Stok negatif","OK")))))</f>
        <v/>
      </c>
    </row>
    <row r="850" spans="1:11" x14ac:dyDescent="0.3">
      <c r="A850" s="9" t="str">
        <f t="shared" si="26"/>
        <v/>
      </c>
      <c r="B850" s="10"/>
      <c r="C850" s="5"/>
      <c r="D850" s="5"/>
      <c r="E850" s="11" t="str">
        <f>IF(D850="","",IFERROR(INDEX('Master Produk'!$B$2:$B$101,MATCH(D850,'Master Produk'!$A$2:$A$101,0)),"SKU tidak ada di master"))</f>
        <v/>
      </c>
      <c r="F850" s="6"/>
      <c r="G850" s="12" t="str">
        <f>IF(D850="","",IFERROR(INDEX('Master Produk'!$C$2:$C$101,MATCH(D850,'Master Produk'!$A$2:$A$101,0)),0)+SUMIFS(F$1:F849,D$1:D849,D850))</f>
        <v/>
      </c>
      <c r="H850" s="12" t="str">
        <f t="shared" si="27"/>
        <v/>
      </c>
      <c r="I850" s="5"/>
      <c r="J850" s="5"/>
      <c r="K850" s="11" t="str">
        <f>IF(D850="","",IF(ISNA(MATCH(D850,'Master Produk'!$A$2:$A$101,0)),"SKU tidak ada di master",IF(AND(C850="Stok masuk",F850&lt;0),"Stok masuk harus +",IF(AND(C850="Stok keluar",F850&gt;0),"Stok keluar harus -",IF(H850&lt;0,"Stok negatif","OK")))))</f>
        <v/>
      </c>
    </row>
    <row r="851" spans="1:11" x14ac:dyDescent="0.3">
      <c r="A851" s="9" t="str">
        <f t="shared" si="26"/>
        <v/>
      </c>
      <c r="B851" s="10"/>
      <c r="C851" s="5"/>
      <c r="D851" s="5"/>
      <c r="E851" s="11" t="str">
        <f>IF(D851="","",IFERROR(INDEX('Master Produk'!$B$2:$B$101,MATCH(D851,'Master Produk'!$A$2:$A$101,0)),"SKU tidak ada di master"))</f>
        <v/>
      </c>
      <c r="F851" s="6"/>
      <c r="G851" s="12" t="str">
        <f>IF(D851="","",IFERROR(INDEX('Master Produk'!$C$2:$C$101,MATCH(D851,'Master Produk'!$A$2:$A$101,0)),0)+SUMIFS(F$1:F850,D$1:D850,D851))</f>
        <v/>
      </c>
      <c r="H851" s="12" t="str">
        <f t="shared" si="27"/>
        <v/>
      </c>
      <c r="I851" s="5"/>
      <c r="J851" s="5"/>
      <c r="K851" s="11" t="str">
        <f>IF(D851="","",IF(ISNA(MATCH(D851,'Master Produk'!$A$2:$A$101,0)),"SKU tidak ada di master",IF(AND(C851="Stok masuk",F851&lt;0),"Stok masuk harus +",IF(AND(C851="Stok keluar",F851&gt;0),"Stok keluar harus -",IF(H851&lt;0,"Stok negatif","OK")))))</f>
        <v/>
      </c>
    </row>
    <row r="852" spans="1:11" x14ac:dyDescent="0.3">
      <c r="A852" s="9" t="str">
        <f t="shared" si="26"/>
        <v/>
      </c>
      <c r="B852" s="10"/>
      <c r="C852" s="5"/>
      <c r="D852" s="5"/>
      <c r="E852" s="11" t="str">
        <f>IF(D852="","",IFERROR(INDEX('Master Produk'!$B$2:$B$101,MATCH(D852,'Master Produk'!$A$2:$A$101,0)),"SKU tidak ada di master"))</f>
        <v/>
      </c>
      <c r="F852" s="6"/>
      <c r="G852" s="12" t="str">
        <f>IF(D852="","",IFERROR(INDEX('Master Produk'!$C$2:$C$101,MATCH(D852,'Master Produk'!$A$2:$A$101,0)),0)+SUMIFS(F$1:F851,D$1:D851,D852))</f>
        <v/>
      </c>
      <c r="H852" s="12" t="str">
        <f t="shared" si="27"/>
        <v/>
      </c>
      <c r="I852" s="5"/>
      <c r="J852" s="5"/>
      <c r="K852" s="11" t="str">
        <f>IF(D852="","",IF(ISNA(MATCH(D852,'Master Produk'!$A$2:$A$101,0)),"SKU tidak ada di master",IF(AND(C852="Stok masuk",F852&lt;0),"Stok masuk harus +",IF(AND(C852="Stok keluar",F852&gt;0),"Stok keluar harus -",IF(H852&lt;0,"Stok negatif","OK")))))</f>
        <v/>
      </c>
    </row>
    <row r="853" spans="1:11" x14ac:dyDescent="0.3">
      <c r="A853" s="9" t="str">
        <f t="shared" si="26"/>
        <v/>
      </c>
      <c r="B853" s="10"/>
      <c r="C853" s="5"/>
      <c r="D853" s="5"/>
      <c r="E853" s="11" t="str">
        <f>IF(D853="","",IFERROR(INDEX('Master Produk'!$B$2:$B$101,MATCH(D853,'Master Produk'!$A$2:$A$101,0)),"SKU tidak ada di master"))</f>
        <v/>
      </c>
      <c r="F853" s="6"/>
      <c r="G853" s="12" t="str">
        <f>IF(D853="","",IFERROR(INDEX('Master Produk'!$C$2:$C$101,MATCH(D853,'Master Produk'!$A$2:$A$101,0)),0)+SUMIFS(F$1:F852,D$1:D852,D853))</f>
        <v/>
      </c>
      <c r="H853" s="12" t="str">
        <f t="shared" si="27"/>
        <v/>
      </c>
      <c r="I853" s="5"/>
      <c r="J853" s="5"/>
      <c r="K853" s="11" t="str">
        <f>IF(D853="","",IF(ISNA(MATCH(D853,'Master Produk'!$A$2:$A$101,0)),"SKU tidak ada di master",IF(AND(C853="Stok masuk",F853&lt;0),"Stok masuk harus +",IF(AND(C853="Stok keluar",F853&gt;0),"Stok keluar harus -",IF(H853&lt;0,"Stok negatif","OK")))))</f>
        <v/>
      </c>
    </row>
    <row r="854" spans="1:11" x14ac:dyDescent="0.3">
      <c r="A854" s="9" t="str">
        <f t="shared" si="26"/>
        <v/>
      </c>
      <c r="B854" s="10"/>
      <c r="C854" s="5"/>
      <c r="D854" s="5"/>
      <c r="E854" s="11" t="str">
        <f>IF(D854="","",IFERROR(INDEX('Master Produk'!$B$2:$B$101,MATCH(D854,'Master Produk'!$A$2:$A$101,0)),"SKU tidak ada di master"))</f>
        <v/>
      </c>
      <c r="F854" s="6"/>
      <c r="G854" s="12" t="str">
        <f>IF(D854="","",IFERROR(INDEX('Master Produk'!$C$2:$C$101,MATCH(D854,'Master Produk'!$A$2:$A$101,0)),0)+SUMIFS(F$1:F853,D$1:D853,D854))</f>
        <v/>
      </c>
      <c r="H854" s="12" t="str">
        <f t="shared" si="27"/>
        <v/>
      </c>
      <c r="I854" s="5"/>
      <c r="J854" s="5"/>
      <c r="K854" s="11" t="str">
        <f>IF(D854="","",IF(ISNA(MATCH(D854,'Master Produk'!$A$2:$A$101,0)),"SKU tidak ada di master",IF(AND(C854="Stok masuk",F854&lt;0),"Stok masuk harus +",IF(AND(C854="Stok keluar",F854&gt;0),"Stok keluar harus -",IF(H854&lt;0,"Stok negatif","OK")))))</f>
        <v/>
      </c>
    </row>
    <row r="855" spans="1:11" x14ac:dyDescent="0.3">
      <c r="A855" s="9" t="str">
        <f t="shared" si="26"/>
        <v/>
      </c>
      <c r="B855" s="10"/>
      <c r="C855" s="5"/>
      <c r="D855" s="5"/>
      <c r="E855" s="11" t="str">
        <f>IF(D855="","",IFERROR(INDEX('Master Produk'!$B$2:$B$101,MATCH(D855,'Master Produk'!$A$2:$A$101,0)),"SKU tidak ada di master"))</f>
        <v/>
      </c>
      <c r="F855" s="6"/>
      <c r="G855" s="12" t="str">
        <f>IF(D855="","",IFERROR(INDEX('Master Produk'!$C$2:$C$101,MATCH(D855,'Master Produk'!$A$2:$A$101,0)),0)+SUMIFS(F$1:F854,D$1:D854,D855))</f>
        <v/>
      </c>
      <c r="H855" s="12" t="str">
        <f t="shared" si="27"/>
        <v/>
      </c>
      <c r="I855" s="5"/>
      <c r="J855" s="5"/>
      <c r="K855" s="11" t="str">
        <f>IF(D855="","",IF(ISNA(MATCH(D855,'Master Produk'!$A$2:$A$101,0)),"SKU tidak ada di master",IF(AND(C855="Stok masuk",F855&lt;0),"Stok masuk harus +",IF(AND(C855="Stok keluar",F855&gt;0),"Stok keluar harus -",IF(H855&lt;0,"Stok negatif","OK")))))</f>
        <v/>
      </c>
    </row>
    <row r="856" spans="1:11" x14ac:dyDescent="0.3">
      <c r="A856" s="9" t="str">
        <f t="shared" si="26"/>
        <v/>
      </c>
      <c r="B856" s="10"/>
      <c r="C856" s="5"/>
      <c r="D856" s="5"/>
      <c r="E856" s="11" t="str">
        <f>IF(D856="","",IFERROR(INDEX('Master Produk'!$B$2:$B$101,MATCH(D856,'Master Produk'!$A$2:$A$101,0)),"SKU tidak ada di master"))</f>
        <v/>
      </c>
      <c r="F856" s="6"/>
      <c r="G856" s="12" t="str">
        <f>IF(D856="","",IFERROR(INDEX('Master Produk'!$C$2:$C$101,MATCH(D856,'Master Produk'!$A$2:$A$101,0)),0)+SUMIFS(F$1:F855,D$1:D855,D856))</f>
        <v/>
      </c>
      <c r="H856" s="12" t="str">
        <f t="shared" si="27"/>
        <v/>
      </c>
      <c r="I856" s="5"/>
      <c r="J856" s="5"/>
      <c r="K856" s="11" t="str">
        <f>IF(D856="","",IF(ISNA(MATCH(D856,'Master Produk'!$A$2:$A$101,0)),"SKU tidak ada di master",IF(AND(C856="Stok masuk",F856&lt;0),"Stok masuk harus +",IF(AND(C856="Stok keluar",F856&gt;0),"Stok keluar harus -",IF(H856&lt;0,"Stok negatif","OK")))))</f>
        <v/>
      </c>
    </row>
    <row r="857" spans="1:11" x14ac:dyDescent="0.3">
      <c r="A857" s="9" t="str">
        <f t="shared" si="26"/>
        <v/>
      </c>
      <c r="B857" s="10"/>
      <c r="C857" s="5"/>
      <c r="D857" s="5"/>
      <c r="E857" s="11" t="str">
        <f>IF(D857="","",IFERROR(INDEX('Master Produk'!$B$2:$B$101,MATCH(D857,'Master Produk'!$A$2:$A$101,0)),"SKU tidak ada di master"))</f>
        <v/>
      </c>
      <c r="F857" s="6"/>
      <c r="G857" s="12" t="str">
        <f>IF(D857="","",IFERROR(INDEX('Master Produk'!$C$2:$C$101,MATCH(D857,'Master Produk'!$A$2:$A$101,0)),0)+SUMIFS(F$1:F856,D$1:D856,D857))</f>
        <v/>
      </c>
      <c r="H857" s="12" t="str">
        <f t="shared" si="27"/>
        <v/>
      </c>
      <c r="I857" s="5"/>
      <c r="J857" s="5"/>
      <c r="K857" s="11" t="str">
        <f>IF(D857="","",IF(ISNA(MATCH(D857,'Master Produk'!$A$2:$A$101,0)),"SKU tidak ada di master",IF(AND(C857="Stok masuk",F857&lt;0),"Stok masuk harus +",IF(AND(C857="Stok keluar",F857&gt;0),"Stok keluar harus -",IF(H857&lt;0,"Stok negatif","OK")))))</f>
        <v/>
      </c>
    </row>
    <row r="858" spans="1:11" x14ac:dyDescent="0.3">
      <c r="A858" s="9" t="str">
        <f t="shared" si="26"/>
        <v/>
      </c>
      <c r="B858" s="10"/>
      <c r="C858" s="5"/>
      <c r="D858" s="5"/>
      <c r="E858" s="11" t="str">
        <f>IF(D858="","",IFERROR(INDEX('Master Produk'!$B$2:$B$101,MATCH(D858,'Master Produk'!$A$2:$A$101,0)),"SKU tidak ada di master"))</f>
        <v/>
      </c>
      <c r="F858" s="6"/>
      <c r="G858" s="12" t="str">
        <f>IF(D858="","",IFERROR(INDEX('Master Produk'!$C$2:$C$101,MATCH(D858,'Master Produk'!$A$2:$A$101,0)),0)+SUMIFS(F$1:F857,D$1:D857,D858))</f>
        <v/>
      </c>
      <c r="H858" s="12" t="str">
        <f t="shared" si="27"/>
        <v/>
      </c>
      <c r="I858" s="5"/>
      <c r="J858" s="5"/>
      <c r="K858" s="11" t="str">
        <f>IF(D858="","",IF(ISNA(MATCH(D858,'Master Produk'!$A$2:$A$101,0)),"SKU tidak ada di master",IF(AND(C858="Stok masuk",F858&lt;0),"Stok masuk harus +",IF(AND(C858="Stok keluar",F858&gt;0),"Stok keluar harus -",IF(H858&lt;0,"Stok negatif","OK")))))</f>
        <v/>
      </c>
    </row>
    <row r="859" spans="1:11" x14ac:dyDescent="0.3">
      <c r="A859" s="9" t="str">
        <f t="shared" si="26"/>
        <v/>
      </c>
      <c r="B859" s="10"/>
      <c r="C859" s="5"/>
      <c r="D859" s="5"/>
      <c r="E859" s="11" t="str">
        <f>IF(D859="","",IFERROR(INDEX('Master Produk'!$B$2:$B$101,MATCH(D859,'Master Produk'!$A$2:$A$101,0)),"SKU tidak ada di master"))</f>
        <v/>
      </c>
      <c r="F859" s="6"/>
      <c r="G859" s="12" t="str">
        <f>IF(D859="","",IFERROR(INDEX('Master Produk'!$C$2:$C$101,MATCH(D859,'Master Produk'!$A$2:$A$101,0)),0)+SUMIFS(F$1:F858,D$1:D858,D859))</f>
        <v/>
      </c>
      <c r="H859" s="12" t="str">
        <f t="shared" si="27"/>
        <v/>
      </c>
      <c r="I859" s="5"/>
      <c r="J859" s="5"/>
      <c r="K859" s="11" t="str">
        <f>IF(D859="","",IF(ISNA(MATCH(D859,'Master Produk'!$A$2:$A$101,0)),"SKU tidak ada di master",IF(AND(C859="Stok masuk",F859&lt;0),"Stok masuk harus +",IF(AND(C859="Stok keluar",F859&gt;0),"Stok keluar harus -",IF(H859&lt;0,"Stok negatif","OK")))))</f>
        <v/>
      </c>
    </row>
    <row r="860" spans="1:11" x14ac:dyDescent="0.3">
      <c r="A860" s="9" t="str">
        <f t="shared" si="26"/>
        <v/>
      </c>
      <c r="B860" s="10"/>
      <c r="C860" s="5"/>
      <c r="D860" s="5"/>
      <c r="E860" s="11" t="str">
        <f>IF(D860="","",IFERROR(INDEX('Master Produk'!$B$2:$B$101,MATCH(D860,'Master Produk'!$A$2:$A$101,0)),"SKU tidak ada di master"))</f>
        <v/>
      </c>
      <c r="F860" s="6"/>
      <c r="G860" s="12" t="str">
        <f>IF(D860="","",IFERROR(INDEX('Master Produk'!$C$2:$C$101,MATCH(D860,'Master Produk'!$A$2:$A$101,0)),0)+SUMIFS(F$1:F859,D$1:D859,D860))</f>
        <v/>
      </c>
      <c r="H860" s="12" t="str">
        <f t="shared" si="27"/>
        <v/>
      </c>
      <c r="I860" s="5"/>
      <c r="J860" s="5"/>
      <c r="K860" s="11" t="str">
        <f>IF(D860="","",IF(ISNA(MATCH(D860,'Master Produk'!$A$2:$A$101,0)),"SKU tidak ada di master",IF(AND(C860="Stok masuk",F860&lt;0),"Stok masuk harus +",IF(AND(C860="Stok keluar",F860&gt;0),"Stok keluar harus -",IF(H860&lt;0,"Stok negatif","OK")))))</f>
        <v/>
      </c>
    </row>
    <row r="861" spans="1:11" x14ac:dyDescent="0.3">
      <c r="A861" s="9" t="str">
        <f t="shared" si="26"/>
        <v/>
      </c>
      <c r="B861" s="10"/>
      <c r="C861" s="5"/>
      <c r="D861" s="5"/>
      <c r="E861" s="11" t="str">
        <f>IF(D861="","",IFERROR(INDEX('Master Produk'!$B$2:$B$101,MATCH(D861,'Master Produk'!$A$2:$A$101,0)),"SKU tidak ada di master"))</f>
        <v/>
      </c>
      <c r="F861" s="6"/>
      <c r="G861" s="12" t="str">
        <f>IF(D861="","",IFERROR(INDEX('Master Produk'!$C$2:$C$101,MATCH(D861,'Master Produk'!$A$2:$A$101,0)),0)+SUMIFS(F$1:F860,D$1:D860,D861))</f>
        <v/>
      </c>
      <c r="H861" s="12" t="str">
        <f t="shared" si="27"/>
        <v/>
      </c>
      <c r="I861" s="5"/>
      <c r="J861" s="5"/>
      <c r="K861" s="11" t="str">
        <f>IF(D861="","",IF(ISNA(MATCH(D861,'Master Produk'!$A$2:$A$101,0)),"SKU tidak ada di master",IF(AND(C861="Stok masuk",F861&lt;0),"Stok masuk harus +",IF(AND(C861="Stok keluar",F861&gt;0),"Stok keluar harus -",IF(H861&lt;0,"Stok negatif","OK")))))</f>
        <v/>
      </c>
    </row>
    <row r="862" spans="1:11" x14ac:dyDescent="0.3">
      <c r="A862" s="9" t="str">
        <f t="shared" si="26"/>
        <v/>
      </c>
      <c r="B862" s="10"/>
      <c r="C862" s="5"/>
      <c r="D862" s="5"/>
      <c r="E862" s="11" t="str">
        <f>IF(D862="","",IFERROR(INDEX('Master Produk'!$B$2:$B$101,MATCH(D862,'Master Produk'!$A$2:$A$101,0)),"SKU tidak ada di master"))</f>
        <v/>
      </c>
      <c r="F862" s="6"/>
      <c r="G862" s="12" t="str">
        <f>IF(D862="","",IFERROR(INDEX('Master Produk'!$C$2:$C$101,MATCH(D862,'Master Produk'!$A$2:$A$101,0)),0)+SUMIFS(F$1:F861,D$1:D861,D862))</f>
        <v/>
      </c>
      <c r="H862" s="12" t="str">
        <f t="shared" si="27"/>
        <v/>
      </c>
      <c r="I862" s="5"/>
      <c r="J862" s="5"/>
      <c r="K862" s="11" t="str">
        <f>IF(D862="","",IF(ISNA(MATCH(D862,'Master Produk'!$A$2:$A$101,0)),"SKU tidak ada di master",IF(AND(C862="Stok masuk",F862&lt;0),"Stok masuk harus +",IF(AND(C862="Stok keluar",F862&gt;0),"Stok keluar harus -",IF(H862&lt;0,"Stok negatif","OK")))))</f>
        <v/>
      </c>
    </row>
    <row r="863" spans="1:11" x14ac:dyDescent="0.3">
      <c r="A863" s="9" t="str">
        <f t="shared" si="26"/>
        <v/>
      </c>
      <c r="B863" s="10"/>
      <c r="C863" s="5"/>
      <c r="D863" s="5"/>
      <c r="E863" s="11" t="str">
        <f>IF(D863="","",IFERROR(INDEX('Master Produk'!$B$2:$B$101,MATCH(D863,'Master Produk'!$A$2:$A$101,0)),"SKU tidak ada di master"))</f>
        <v/>
      </c>
      <c r="F863" s="6"/>
      <c r="G863" s="12" t="str">
        <f>IF(D863="","",IFERROR(INDEX('Master Produk'!$C$2:$C$101,MATCH(D863,'Master Produk'!$A$2:$A$101,0)),0)+SUMIFS(F$1:F862,D$1:D862,D863))</f>
        <v/>
      </c>
      <c r="H863" s="12" t="str">
        <f t="shared" si="27"/>
        <v/>
      </c>
      <c r="I863" s="5"/>
      <c r="J863" s="5"/>
      <c r="K863" s="11" t="str">
        <f>IF(D863="","",IF(ISNA(MATCH(D863,'Master Produk'!$A$2:$A$101,0)),"SKU tidak ada di master",IF(AND(C863="Stok masuk",F863&lt;0),"Stok masuk harus +",IF(AND(C863="Stok keluar",F863&gt;0),"Stok keluar harus -",IF(H863&lt;0,"Stok negatif","OK")))))</f>
        <v/>
      </c>
    </row>
    <row r="864" spans="1:11" x14ac:dyDescent="0.3">
      <c r="A864" s="9" t="str">
        <f t="shared" si="26"/>
        <v/>
      </c>
      <c r="B864" s="10"/>
      <c r="C864" s="5"/>
      <c r="D864" s="5"/>
      <c r="E864" s="11" t="str">
        <f>IF(D864="","",IFERROR(INDEX('Master Produk'!$B$2:$B$101,MATCH(D864,'Master Produk'!$A$2:$A$101,0)),"SKU tidak ada di master"))</f>
        <v/>
      </c>
      <c r="F864" s="6"/>
      <c r="G864" s="12" t="str">
        <f>IF(D864="","",IFERROR(INDEX('Master Produk'!$C$2:$C$101,MATCH(D864,'Master Produk'!$A$2:$A$101,0)),0)+SUMIFS(F$1:F863,D$1:D863,D864))</f>
        <v/>
      </c>
      <c r="H864" s="12" t="str">
        <f t="shared" si="27"/>
        <v/>
      </c>
      <c r="I864" s="5"/>
      <c r="J864" s="5"/>
      <c r="K864" s="11" t="str">
        <f>IF(D864="","",IF(ISNA(MATCH(D864,'Master Produk'!$A$2:$A$101,0)),"SKU tidak ada di master",IF(AND(C864="Stok masuk",F864&lt;0),"Stok masuk harus +",IF(AND(C864="Stok keluar",F864&gt;0),"Stok keluar harus -",IF(H864&lt;0,"Stok negatif","OK")))))</f>
        <v/>
      </c>
    </row>
    <row r="865" spans="1:11" x14ac:dyDescent="0.3">
      <c r="A865" s="9" t="str">
        <f t="shared" si="26"/>
        <v/>
      </c>
      <c r="B865" s="10"/>
      <c r="C865" s="5"/>
      <c r="D865" s="5"/>
      <c r="E865" s="11" t="str">
        <f>IF(D865="","",IFERROR(INDEX('Master Produk'!$B$2:$B$101,MATCH(D865,'Master Produk'!$A$2:$A$101,0)),"SKU tidak ada di master"))</f>
        <v/>
      </c>
      <c r="F865" s="6"/>
      <c r="G865" s="12" t="str">
        <f>IF(D865="","",IFERROR(INDEX('Master Produk'!$C$2:$C$101,MATCH(D865,'Master Produk'!$A$2:$A$101,0)),0)+SUMIFS(F$1:F864,D$1:D864,D865))</f>
        <v/>
      </c>
      <c r="H865" s="12" t="str">
        <f t="shared" si="27"/>
        <v/>
      </c>
      <c r="I865" s="5"/>
      <c r="J865" s="5"/>
      <c r="K865" s="11" t="str">
        <f>IF(D865="","",IF(ISNA(MATCH(D865,'Master Produk'!$A$2:$A$101,0)),"SKU tidak ada di master",IF(AND(C865="Stok masuk",F865&lt;0),"Stok masuk harus +",IF(AND(C865="Stok keluar",F865&gt;0),"Stok keluar harus -",IF(H865&lt;0,"Stok negatif","OK")))))</f>
        <v/>
      </c>
    </row>
    <row r="866" spans="1:11" x14ac:dyDescent="0.3">
      <c r="A866" s="9" t="str">
        <f t="shared" si="26"/>
        <v/>
      </c>
      <c r="B866" s="10"/>
      <c r="C866" s="5"/>
      <c r="D866" s="5"/>
      <c r="E866" s="11" t="str">
        <f>IF(D866="","",IFERROR(INDEX('Master Produk'!$B$2:$B$101,MATCH(D866,'Master Produk'!$A$2:$A$101,0)),"SKU tidak ada di master"))</f>
        <v/>
      </c>
      <c r="F866" s="6"/>
      <c r="G866" s="12" t="str">
        <f>IF(D866="","",IFERROR(INDEX('Master Produk'!$C$2:$C$101,MATCH(D866,'Master Produk'!$A$2:$A$101,0)),0)+SUMIFS(F$1:F865,D$1:D865,D866))</f>
        <v/>
      </c>
      <c r="H866" s="12" t="str">
        <f t="shared" si="27"/>
        <v/>
      </c>
      <c r="I866" s="5"/>
      <c r="J866" s="5"/>
      <c r="K866" s="11" t="str">
        <f>IF(D866="","",IF(ISNA(MATCH(D866,'Master Produk'!$A$2:$A$101,0)),"SKU tidak ada di master",IF(AND(C866="Stok masuk",F866&lt;0),"Stok masuk harus +",IF(AND(C866="Stok keluar",F866&gt;0),"Stok keluar harus -",IF(H866&lt;0,"Stok negatif","OK")))))</f>
        <v/>
      </c>
    </row>
    <row r="867" spans="1:11" x14ac:dyDescent="0.3">
      <c r="A867" s="9" t="str">
        <f t="shared" si="26"/>
        <v/>
      </c>
      <c r="B867" s="10"/>
      <c r="C867" s="5"/>
      <c r="D867" s="5"/>
      <c r="E867" s="11" t="str">
        <f>IF(D867="","",IFERROR(INDEX('Master Produk'!$B$2:$B$101,MATCH(D867,'Master Produk'!$A$2:$A$101,0)),"SKU tidak ada di master"))</f>
        <v/>
      </c>
      <c r="F867" s="6"/>
      <c r="G867" s="12" t="str">
        <f>IF(D867="","",IFERROR(INDEX('Master Produk'!$C$2:$C$101,MATCH(D867,'Master Produk'!$A$2:$A$101,0)),0)+SUMIFS(F$1:F866,D$1:D866,D867))</f>
        <v/>
      </c>
      <c r="H867" s="12" t="str">
        <f t="shared" si="27"/>
        <v/>
      </c>
      <c r="I867" s="5"/>
      <c r="J867" s="5"/>
      <c r="K867" s="11" t="str">
        <f>IF(D867="","",IF(ISNA(MATCH(D867,'Master Produk'!$A$2:$A$101,0)),"SKU tidak ada di master",IF(AND(C867="Stok masuk",F867&lt;0),"Stok masuk harus +",IF(AND(C867="Stok keluar",F867&gt;0),"Stok keluar harus -",IF(H867&lt;0,"Stok negatif","OK")))))</f>
        <v/>
      </c>
    </row>
    <row r="868" spans="1:11" x14ac:dyDescent="0.3">
      <c r="A868" s="9" t="str">
        <f t="shared" si="26"/>
        <v/>
      </c>
      <c r="B868" s="10"/>
      <c r="C868" s="5"/>
      <c r="D868" s="5"/>
      <c r="E868" s="11" t="str">
        <f>IF(D868="","",IFERROR(INDEX('Master Produk'!$B$2:$B$101,MATCH(D868,'Master Produk'!$A$2:$A$101,0)),"SKU tidak ada di master"))</f>
        <v/>
      </c>
      <c r="F868" s="6"/>
      <c r="G868" s="12" t="str">
        <f>IF(D868="","",IFERROR(INDEX('Master Produk'!$C$2:$C$101,MATCH(D868,'Master Produk'!$A$2:$A$101,0)),0)+SUMIFS(F$1:F867,D$1:D867,D868))</f>
        <v/>
      </c>
      <c r="H868" s="12" t="str">
        <f t="shared" si="27"/>
        <v/>
      </c>
      <c r="I868" s="5"/>
      <c r="J868" s="5"/>
      <c r="K868" s="11" t="str">
        <f>IF(D868="","",IF(ISNA(MATCH(D868,'Master Produk'!$A$2:$A$101,0)),"SKU tidak ada di master",IF(AND(C868="Stok masuk",F868&lt;0),"Stok masuk harus +",IF(AND(C868="Stok keluar",F868&gt;0),"Stok keluar harus -",IF(H868&lt;0,"Stok negatif","OK")))))</f>
        <v/>
      </c>
    </row>
    <row r="869" spans="1:11" x14ac:dyDescent="0.3">
      <c r="A869" s="9" t="str">
        <f t="shared" si="26"/>
        <v/>
      </c>
      <c r="B869" s="10"/>
      <c r="C869" s="5"/>
      <c r="D869" s="5"/>
      <c r="E869" s="11" t="str">
        <f>IF(D869="","",IFERROR(INDEX('Master Produk'!$B$2:$B$101,MATCH(D869,'Master Produk'!$A$2:$A$101,0)),"SKU tidak ada di master"))</f>
        <v/>
      </c>
      <c r="F869" s="6"/>
      <c r="G869" s="12" t="str">
        <f>IF(D869="","",IFERROR(INDEX('Master Produk'!$C$2:$C$101,MATCH(D869,'Master Produk'!$A$2:$A$101,0)),0)+SUMIFS(F$1:F868,D$1:D868,D869))</f>
        <v/>
      </c>
      <c r="H869" s="12" t="str">
        <f t="shared" si="27"/>
        <v/>
      </c>
      <c r="I869" s="5"/>
      <c r="J869" s="5"/>
      <c r="K869" s="11" t="str">
        <f>IF(D869="","",IF(ISNA(MATCH(D869,'Master Produk'!$A$2:$A$101,0)),"SKU tidak ada di master",IF(AND(C869="Stok masuk",F869&lt;0),"Stok masuk harus +",IF(AND(C869="Stok keluar",F869&gt;0),"Stok keluar harus -",IF(H869&lt;0,"Stok negatif","OK")))))</f>
        <v/>
      </c>
    </row>
    <row r="870" spans="1:11" x14ac:dyDescent="0.3">
      <c r="A870" s="9" t="str">
        <f t="shared" si="26"/>
        <v/>
      </c>
      <c r="B870" s="10"/>
      <c r="C870" s="5"/>
      <c r="D870" s="5"/>
      <c r="E870" s="11" t="str">
        <f>IF(D870="","",IFERROR(INDEX('Master Produk'!$B$2:$B$101,MATCH(D870,'Master Produk'!$A$2:$A$101,0)),"SKU tidak ada di master"))</f>
        <v/>
      </c>
      <c r="F870" s="6"/>
      <c r="G870" s="12" t="str">
        <f>IF(D870="","",IFERROR(INDEX('Master Produk'!$C$2:$C$101,MATCH(D870,'Master Produk'!$A$2:$A$101,0)),0)+SUMIFS(F$1:F869,D$1:D869,D870))</f>
        <v/>
      </c>
      <c r="H870" s="12" t="str">
        <f t="shared" si="27"/>
        <v/>
      </c>
      <c r="I870" s="5"/>
      <c r="J870" s="5"/>
      <c r="K870" s="11" t="str">
        <f>IF(D870="","",IF(ISNA(MATCH(D870,'Master Produk'!$A$2:$A$101,0)),"SKU tidak ada di master",IF(AND(C870="Stok masuk",F870&lt;0),"Stok masuk harus +",IF(AND(C870="Stok keluar",F870&gt;0),"Stok keluar harus -",IF(H870&lt;0,"Stok negatif","OK")))))</f>
        <v/>
      </c>
    </row>
    <row r="871" spans="1:11" x14ac:dyDescent="0.3">
      <c r="A871" s="9" t="str">
        <f t="shared" si="26"/>
        <v/>
      </c>
      <c r="B871" s="10"/>
      <c r="C871" s="5"/>
      <c r="D871" s="5"/>
      <c r="E871" s="11" t="str">
        <f>IF(D871="","",IFERROR(INDEX('Master Produk'!$B$2:$B$101,MATCH(D871,'Master Produk'!$A$2:$A$101,0)),"SKU tidak ada di master"))</f>
        <v/>
      </c>
      <c r="F871" s="6"/>
      <c r="G871" s="12" t="str">
        <f>IF(D871="","",IFERROR(INDEX('Master Produk'!$C$2:$C$101,MATCH(D871,'Master Produk'!$A$2:$A$101,0)),0)+SUMIFS(F$1:F870,D$1:D870,D871))</f>
        <v/>
      </c>
      <c r="H871" s="12" t="str">
        <f t="shared" si="27"/>
        <v/>
      </c>
      <c r="I871" s="5"/>
      <c r="J871" s="5"/>
      <c r="K871" s="11" t="str">
        <f>IF(D871="","",IF(ISNA(MATCH(D871,'Master Produk'!$A$2:$A$101,0)),"SKU tidak ada di master",IF(AND(C871="Stok masuk",F871&lt;0),"Stok masuk harus +",IF(AND(C871="Stok keluar",F871&gt;0),"Stok keluar harus -",IF(H871&lt;0,"Stok negatif","OK")))))</f>
        <v/>
      </c>
    </row>
    <row r="872" spans="1:11" x14ac:dyDescent="0.3">
      <c r="A872" s="9" t="str">
        <f t="shared" si="26"/>
        <v/>
      </c>
      <c r="B872" s="10"/>
      <c r="C872" s="5"/>
      <c r="D872" s="5"/>
      <c r="E872" s="11" t="str">
        <f>IF(D872="","",IFERROR(INDEX('Master Produk'!$B$2:$B$101,MATCH(D872,'Master Produk'!$A$2:$A$101,0)),"SKU tidak ada di master"))</f>
        <v/>
      </c>
      <c r="F872" s="6"/>
      <c r="G872" s="12" t="str">
        <f>IF(D872="","",IFERROR(INDEX('Master Produk'!$C$2:$C$101,MATCH(D872,'Master Produk'!$A$2:$A$101,0)),0)+SUMIFS(F$1:F871,D$1:D871,D872))</f>
        <v/>
      </c>
      <c r="H872" s="12" t="str">
        <f t="shared" si="27"/>
        <v/>
      </c>
      <c r="I872" s="5"/>
      <c r="J872" s="5"/>
      <c r="K872" s="11" t="str">
        <f>IF(D872="","",IF(ISNA(MATCH(D872,'Master Produk'!$A$2:$A$101,0)),"SKU tidak ada di master",IF(AND(C872="Stok masuk",F872&lt;0),"Stok masuk harus +",IF(AND(C872="Stok keluar",F872&gt;0),"Stok keluar harus -",IF(H872&lt;0,"Stok negatif","OK")))))</f>
        <v/>
      </c>
    </row>
    <row r="873" spans="1:11" x14ac:dyDescent="0.3">
      <c r="A873" s="9" t="str">
        <f t="shared" si="26"/>
        <v/>
      </c>
      <c r="B873" s="10"/>
      <c r="C873" s="5"/>
      <c r="D873" s="5"/>
      <c r="E873" s="11" t="str">
        <f>IF(D873="","",IFERROR(INDEX('Master Produk'!$B$2:$B$101,MATCH(D873,'Master Produk'!$A$2:$A$101,0)),"SKU tidak ada di master"))</f>
        <v/>
      </c>
      <c r="F873" s="6"/>
      <c r="G873" s="12" t="str">
        <f>IF(D873="","",IFERROR(INDEX('Master Produk'!$C$2:$C$101,MATCH(D873,'Master Produk'!$A$2:$A$101,0)),0)+SUMIFS(F$1:F872,D$1:D872,D873))</f>
        <v/>
      </c>
      <c r="H873" s="12" t="str">
        <f t="shared" si="27"/>
        <v/>
      </c>
      <c r="I873" s="5"/>
      <c r="J873" s="5"/>
      <c r="K873" s="11" t="str">
        <f>IF(D873="","",IF(ISNA(MATCH(D873,'Master Produk'!$A$2:$A$101,0)),"SKU tidak ada di master",IF(AND(C873="Stok masuk",F873&lt;0),"Stok masuk harus +",IF(AND(C873="Stok keluar",F873&gt;0),"Stok keluar harus -",IF(H873&lt;0,"Stok negatif","OK")))))</f>
        <v/>
      </c>
    </row>
    <row r="874" spans="1:11" x14ac:dyDescent="0.3">
      <c r="A874" s="9" t="str">
        <f t="shared" si="26"/>
        <v/>
      </c>
      <c r="B874" s="10"/>
      <c r="C874" s="5"/>
      <c r="D874" s="5"/>
      <c r="E874" s="11" t="str">
        <f>IF(D874="","",IFERROR(INDEX('Master Produk'!$B$2:$B$101,MATCH(D874,'Master Produk'!$A$2:$A$101,0)),"SKU tidak ada di master"))</f>
        <v/>
      </c>
      <c r="F874" s="6"/>
      <c r="G874" s="12" t="str">
        <f>IF(D874="","",IFERROR(INDEX('Master Produk'!$C$2:$C$101,MATCH(D874,'Master Produk'!$A$2:$A$101,0)),0)+SUMIFS(F$1:F873,D$1:D873,D874))</f>
        <v/>
      </c>
      <c r="H874" s="12" t="str">
        <f t="shared" si="27"/>
        <v/>
      </c>
      <c r="I874" s="5"/>
      <c r="J874" s="5"/>
      <c r="K874" s="11" t="str">
        <f>IF(D874="","",IF(ISNA(MATCH(D874,'Master Produk'!$A$2:$A$101,0)),"SKU tidak ada di master",IF(AND(C874="Stok masuk",F874&lt;0),"Stok masuk harus +",IF(AND(C874="Stok keluar",F874&gt;0),"Stok keluar harus -",IF(H874&lt;0,"Stok negatif","OK")))))</f>
        <v/>
      </c>
    </row>
    <row r="875" spans="1:11" x14ac:dyDescent="0.3">
      <c r="A875" s="9" t="str">
        <f t="shared" si="26"/>
        <v/>
      </c>
      <c r="B875" s="10"/>
      <c r="C875" s="5"/>
      <c r="D875" s="5"/>
      <c r="E875" s="11" t="str">
        <f>IF(D875="","",IFERROR(INDEX('Master Produk'!$B$2:$B$101,MATCH(D875,'Master Produk'!$A$2:$A$101,0)),"SKU tidak ada di master"))</f>
        <v/>
      </c>
      <c r="F875" s="6"/>
      <c r="G875" s="12" t="str">
        <f>IF(D875="","",IFERROR(INDEX('Master Produk'!$C$2:$C$101,MATCH(D875,'Master Produk'!$A$2:$A$101,0)),0)+SUMIFS(F$1:F874,D$1:D874,D875))</f>
        <v/>
      </c>
      <c r="H875" s="12" t="str">
        <f t="shared" si="27"/>
        <v/>
      </c>
      <c r="I875" s="5"/>
      <c r="J875" s="5"/>
      <c r="K875" s="11" t="str">
        <f>IF(D875="","",IF(ISNA(MATCH(D875,'Master Produk'!$A$2:$A$101,0)),"SKU tidak ada di master",IF(AND(C875="Stok masuk",F875&lt;0),"Stok masuk harus +",IF(AND(C875="Stok keluar",F875&gt;0),"Stok keluar harus -",IF(H875&lt;0,"Stok negatif","OK")))))</f>
        <v/>
      </c>
    </row>
    <row r="876" spans="1:11" x14ac:dyDescent="0.3">
      <c r="A876" s="9" t="str">
        <f t="shared" si="26"/>
        <v/>
      </c>
      <c r="B876" s="10"/>
      <c r="C876" s="5"/>
      <c r="D876" s="5"/>
      <c r="E876" s="11" t="str">
        <f>IF(D876="","",IFERROR(INDEX('Master Produk'!$B$2:$B$101,MATCH(D876,'Master Produk'!$A$2:$A$101,0)),"SKU tidak ada di master"))</f>
        <v/>
      </c>
      <c r="F876" s="6"/>
      <c r="G876" s="12" t="str">
        <f>IF(D876="","",IFERROR(INDEX('Master Produk'!$C$2:$C$101,MATCH(D876,'Master Produk'!$A$2:$A$101,0)),0)+SUMIFS(F$1:F875,D$1:D875,D876))</f>
        <v/>
      </c>
      <c r="H876" s="12" t="str">
        <f t="shared" si="27"/>
        <v/>
      </c>
      <c r="I876" s="5"/>
      <c r="J876" s="5"/>
      <c r="K876" s="11" t="str">
        <f>IF(D876="","",IF(ISNA(MATCH(D876,'Master Produk'!$A$2:$A$101,0)),"SKU tidak ada di master",IF(AND(C876="Stok masuk",F876&lt;0),"Stok masuk harus +",IF(AND(C876="Stok keluar",F876&gt;0),"Stok keluar harus -",IF(H876&lt;0,"Stok negatif","OK")))))</f>
        <v/>
      </c>
    </row>
    <row r="877" spans="1:11" x14ac:dyDescent="0.3">
      <c r="A877" s="9" t="str">
        <f t="shared" si="26"/>
        <v/>
      </c>
      <c r="B877" s="10"/>
      <c r="C877" s="5"/>
      <c r="D877" s="5"/>
      <c r="E877" s="11" t="str">
        <f>IF(D877="","",IFERROR(INDEX('Master Produk'!$B$2:$B$101,MATCH(D877,'Master Produk'!$A$2:$A$101,0)),"SKU tidak ada di master"))</f>
        <v/>
      </c>
      <c r="F877" s="6"/>
      <c r="G877" s="12" t="str">
        <f>IF(D877="","",IFERROR(INDEX('Master Produk'!$C$2:$C$101,MATCH(D877,'Master Produk'!$A$2:$A$101,0)),0)+SUMIFS(F$1:F876,D$1:D876,D877))</f>
        <v/>
      </c>
      <c r="H877" s="12" t="str">
        <f t="shared" si="27"/>
        <v/>
      </c>
      <c r="I877" s="5"/>
      <c r="J877" s="5"/>
      <c r="K877" s="11" t="str">
        <f>IF(D877="","",IF(ISNA(MATCH(D877,'Master Produk'!$A$2:$A$101,0)),"SKU tidak ada di master",IF(AND(C877="Stok masuk",F877&lt;0),"Stok masuk harus +",IF(AND(C877="Stok keluar",F877&gt;0),"Stok keluar harus -",IF(H877&lt;0,"Stok negatif","OK")))))</f>
        <v/>
      </c>
    </row>
    <row r="878" spans="1:11" x14ac:dyDescent="0.3">
      <c r="A878" s="9" t="str">
        <f t="shared" si="26"/>
        <v/>
      </c>
      <c r="B878" s="10"/>
      <c r="C878" s="5"/>
      <c r="D878" s="5"/>
      <c r="E878" s="11" t="str">
        <f>IF(D878="","",IFERROR(INDEX('Master Produk'!$B$2:$B$101,MATCH(D878,'Master Produk'!$A$2:$A$101,0)),"SKU tidak ada di master"))</f>
        <v/>
      </c>
      <c r="F878" s="6"/>
      <c r="G878" s="12" t="str">
        <f>IF(D878="","",IFERROR(INDEX('Master Produk'!$C$2:$C$101,MATCH(D878,'Master Produk'!$A$2:$A$101,0)),0)+SUMIFS(F$1:F877,D$1:D877,D878))</f>
        <v/>
      </c>
      <c r="H878" s="12" t="str">
        <f t="shared" si="27"/>
        <v/>
      </c>
      <c r="I878" s="5"/>
      <c r="J878" s="5"/>
      <c r="K878" s="11" t="str">
        <f>IF(D878="","",IF(ISNA(MATCH(D878,'Master Produk'!$A$2:$A$101,0)),"SKU tidak ada di master",IF(AND(C878="Stok masuk",F878&lt;0),"Stok masuk harus +",IF(AND(C878="Stok keluar",F878&gt;0),"Stok keluar harus -",IF(H878&lt;0,"Stok negatif","OK")))))</f>
        <v/>
      </c>
    </row>
    <row r="879" spans="1:11" x14ac:dyDescent="0.3">
      <c r="A879" s="9" t="str">
        <f t="shared" si="26"/>
        <v/>
      </c>
      <c r="B879" s="10"/>
      <c r="C879" s="5"/>
      <c r="D879" s="5"/>
      <c r="E879" s="11" t="str">
        <f>IF(D879="","",IFERROR(INDEX('Master Produk'!$B$2:$B$101,MATCH(D879,'Master Produk'!$A$2:$A$101,0)),"SKU tidak ada di master"))</f>
        <v/>
      </c>
      <c r="F879" s="6"/>
      <c r="G879" s="12" t="str">
        <f>IF(D879="","",IFERROR(INDEX('Master Produk'!$C$2:$C$101,MATCH(D879,'Master Produk'!$A$2:$A$101,0)),0)+SUMIFS(F$1:F878,D$1:D878,D879))</f>
        <v/>
      </c>
      <c r="H879" s="12" t="str">
        <f t="shared" si="27"/>
        <v/>
      </c>
      <c r="I879" s="5"/>
      <c r="J879" s="5"/>
      <c r="K879" s="11" t="str">
        <f>IF(D879="","",IF(ISNA(MATCH(D879,'Master Produk'!$A$2:$A$101,0)),"SKU tidak ada di master",IF(AND(C879="Stok masuk",F879&lt;0),"Stok masuk harus +",IF(AND(C879="Stok keluar",F879&gt;0),"Stok keluar harus -",IF(H879&lt;0,"Stok negatif","OK")))))</f>
        <v/>
      </c>
    </row>
    <row r="880" spans="1:11" x14ac:dyDescent="0.3">
      <c r="A880" s="9" t="str">
        <f t="shared" si="26"/>
        <v/>
      </c>
      <c r="B880" s="10"/>
      <c r="C880" s="5"/>
      <c r="D880" s="5"/>
      <c r="E880" s="11" t="str">
        <f>IF(D880="","",IFERROR(INDEX('Master Produk'!$B$2:$B$101,MATCH(D880,'Master Produk'!$A$2:$A$101,0)),"SKU tidak ada di master"))</f>
        <v/>
      </c>
      <c r="F880" s="6"/>
      <c r="G880" s="12" t="str">
        <f>IF(D880="","",IFERROR(INDEX('Master Produk'!$C$2:$C$101,MATCH(D880,'Master Produk'!$A$2:$A$101,0)),0)+SUMIFS(F$1:F879,D$1:D879,D880))</f>
        <v/>
      </c>
      <c r="H880" s="12" t="str">
        <f t="shared" si="27"/>
        <v/>
      </c>
      <c r="I880" s="5"/>
      <c r="J880" s="5"/>
      <c r="K880" s="11" t="str">
        <f>IF(D880="","",IF(ISNA(MATCH(D880,'Master Produk'!$A$2:$A$101,0)),"SKU tidak ada di master",IF(AND(C880="Stok masuk",F880&lt;0),"Stok masuk harus +",IF(AND(C880="Stok keluar",F880&gt;0),"Stok keluar harus -",IF(H880&lt;0,"Stok negatif","OK")))))</f>
        <v/>
      </c>
    </row>
    <row r="881" spans="1:11" x14ac:dyDescent="0.3">
      <c r="A881" s="9" t="str">
        <f t="shared" si="26"/>
        <v/>
      </c>
      <c r="B881" s="10"/>
      <c r="C881" s="5"/>
      <c r="D881" s="5"/>
      <c r="E881" s="11" t="str">
        <f>IF(D881="","",IFERROR(INDEX('Master Produk'!$B$2:$B$101,MATCH(D881,'Master Produk'!$A$2:$A$101,0)),"SKU tidak ada di master"))</f>
        <v/>
      </c>
      <c r="F881" s="6"/>
      <c r="G881" s="12" t="str">
        <f>IF(D881="","",IFERROR(INDEX('Master Produk'!$C$2:$C$101,MATCH(D881,'Master Produk'!$A$2:$A$101,0)),0)+SUMIFS(F$1:F880,D$1:D880,D881))</f>
        <v/>
      </c>
      <c r="H881" s="12" t="str">
        <f t="shared" si="27"/>
        <v/>
      </c>
      <c r="I881" s="5"/>
      <c r="J881" s="5"/>
      <c r="K881" s="11" t="str">
        <f>IF(D881="","",IF(ISNA(MATCH(D881,'Master Produk'!$A$2:$A$101,0)),"SKU tidak ada di master",IF(AND(C881="Stok masuk",F881&lt;0),"Stok masuk harus +",IF(AND(C881="Stok keluar",F881&gt;0),"Stok keluar harus -",IF(H881&lt;0,"Stok negatif","OK")))))</f>
        <v/>
      </c>
    </row>
    <row r="882" spans="1:11" x14ac:dyDescent="0.3">
      <c r="A882" s="9" t="str">
        <f t="shared" si="26"/>
        <v/>
      </c>
      <c r="B882" s="10"/>
      <c r="C882" s="5"/>
      <c r="D882" s="5"/>
      <c r="E882" s="11" t="str">
        <f>IF(D882="","",IFERROR(INDEX('Master Produk'!$B$2:$B$101,MATCH(D882,'Master Produk'!$A$2:$A$101,0)),"SKU tidak ada di master"))</f>
        <v/>
      </c>
      <c r="F882" s="6"/>
      <c r="G882" s="12" t="str">
        <f>IF(D882="","",IFERROR(INDEX('Master Produk'!$C$2:$C$101,MATCH(D882,'Master Produk'!$A$2:$A$101,0)),0)+SUMIFS(F$1:F881,D$1:D881,D882))</f>
        <v/>
      </c>
      <c r="H882" s="12" t="str">
        <f t="shared" si="27"/>
        <v/>
      </c>
      <c r="I882" s="5"/>
      <c r="J882" s="5"/>
      <c r="K882" s="11" t="str">
        <f>IF(D882="","",IF(ISNA(MATCH(D882,'Master Produk'!$A$2:$A$101,0)),"SKU tidak ada di master",IF(AND(C882="Stok masuk",F882&lt;0),"Stok masuk harus +",IF(AND(C882="Stok keluar",F882&gt;0),"Stok keluar harus -",IF(H882&lt;0,"Stok negatif","OK")))))</f>
        <v/>
      </c>
    </row>
    <row r="883" spans="1:11" x14ac:dyDescent="0.3">
      <c r="A883" s="9" t="str">
        <f t="shared" si="26"/>
        <v/>
      </c>
      <c r="B883" s="10"/>
      <c r="C883" s="5"/>
      <c r="D883" s="5"/>
      <c r="E883" s="11" t="str">
        <f>IF(D883="","",IFERROR(INDEX('Master Produk'!$B$2:$B$101,MATCH(D883,'Master Produk'!$A$2:$A$101,0)),"SKU tidak ada di master"))</f>
        <v/>
      </c>
      <c r="F883" s="6"/>
      <c r="G883" s="12" t="str">
        <f>IF(D883="","",IFERROR(INDEX('Master Produk'!$C$2:$C$101,MATCH(D883,'Master Produk'!$A$2:$A$101,0)),0)+SUMIFS(F$1:F882,D$1:D882,D883))</f>
        <v/>
      </c>
      <c r="H883" s="12" t="str">
        <f t="shared" si="27"/>
        <v/>
      </c>
      <c r="I883" s="5"/>
      <c r="J883" s="5"/>
      <c r="K883" s="11" t="str">
        <f>IF(D883="","",IF(ISNA(MATCH(D883,'Master Produk'!$A$2:$A$101,0)),"SKU tidak ada di master",IF(AND(C883="Stok masuk",F883&lt;0),"Stok masuk harus +",IF(AND(C883="Stok keluar",F883&gt;0),"Stok keluar harus -",IF(H883&lt;0,"Stok negatif","OK")))))</f>
        <v/>
      </c>
    </row>
    <row r="884" spans="1:11" x14ac:dyDescent="0.3">
      <c r="A884" s="9" t="str">
        <f t="shared" si="26"/>
        <v/>
      </c>
      <c r="B884" s="10"/>
      <c r="C884" s="5"/>
      <c r="D884" s="5"/>
      <c r="E884" s="11" t="str">
        <f>IF(D884="","",IFERROR(INDEX('Master Produk'!$B$2:$B$101,MATCH(D884,'Master Produk'!$A$2:$A$101,0)),"SKU tidak ada di master"))</f>
        <v/>
      </c>
      <c r="F884" s="6"/>
      <c r="G884" s="12" t="str">
        <f>IF(D884="","",IFERROR(INDEX('Master Produk'!$C$2:$C$101,MATCH(D884,'Master Produk'!$A$2:$A$101,0)),0)+SUMIFS(F$1:F883,D$1:D883,D884))</f>
        <v/>
      </c>
      <c r="H884" s="12" t="str">
        <f t="shared" si="27"/>
        <v/>
      </c>
      <c r="I884" s="5"/>
      <c r="J884" s="5"/>
      <c r="K884" s="11" t="str">
        <f>IF(D884="","",IF(ISNA(MATCH(D884,'Master Produk'!$A$2:$A$101,0)),"SKU tidak ada di master",IF(AND(C884="Stok masuk",F884&lt;0),"Stok masuk harus +",IF(AND(C884="Stok keluar",F884&gt;0),"Stok keluar harus -",IF(H884&lt;0,"Stok negatif","OK")))))</f>
        <v/>
      </c>
    </row>
    <row r="885" spans="1:11" x14ac:dyDescent="0.3">
      <c r="A885" s="9" t="str">
        <f t="shared" si="26"/>
        <v/>
      </c>
      <c r="B885" s="10"/>
      <c r="C885" s="5"/>
      <c r="D885" s="5"/>
      <c r="E885" s="11" t="str">
        <f>IF(D885="","",IFERROR(INDEX('Master Produk'!$B$2:$B$101,MATCH(D885,'Master Produk'!$A$2:$A$101,0)),"SKU tidak ada di master"))</f>
        <v/>
      </c>
      <c r="F885" s="6"/>
      <c r="G885" s="12" t="str">
        <f>IF(D885="","",IFERROR(INDEX('Master Produk'!$C$2:$C$101,MATCH(D885,'Master Produk'!$A$2:$A$101,0)),0)+SUMIFS(F$1:F884,D$1:D884,D885))</f>
        <v/>
      </c>
      <c r="H885" s="12" t="str">
        <f t="shared" si="27"/>
        <v/>
      </c>
      <c r="I885" s="5"/>
      <c r="J885" s="5"/>
      <c r="K885" s="11" t="str">
        <f>IF(D885="","",IF(ISNA(MATCH(D885,'Master Produk'!$A$2:$A$101,0)),"SKU tidak ada di master",IF(AND(C885="Stok masuk",F885&lt;0),"Stok masuk harus +",IF(AND(C885="Stok keluar",F885&gt;0),"Stok keluar harus -",IF(H885&lt;0,"Stok negatif","OK")))))</f>
        <v/>
      </c>
    </row>
    <row r="886" spans="1:11" x14ac:dyDescent="0.3">
      <c r="A886" s="9" t="str">
        <f t="shared" si="26"/>
        <v/>
      </c>
      <c r="B886" s="10"/>
      <c r="C886" s="5"/>
      <c r="D886" s="5"/>
      <c r="E886" s="11" t="str">
        <f>IF(D886="","",IFERROR(INDEX('Master Produk'!$B$2:$B$101,MATCH(D886,'Master Produk'!$A$2:$A$101,0)),"SKU tidak ada di master"))</f>
        <v/>
      </c>
      <c r="F886" s="6"/>
      <c r="G886" s="12" t="str">
        <f>IF(D886="","",IFERROR(INDEX('Master Produk'!$C$2:$C$101,MATCH(D886,'Master Produk'!$A$2:$A$101,0)),0)+SUMIFS(F$1:F885,D$1:D885,D886))</f>
        <v/>
      </c>
      <c r="H886" s="12" t="str">
        <f t="shared" si="27"/>
        <v/>
      </c>
      <c r="I886" s="5"/>
      <c r="J886" s="5"/>
      <c r="K886" s="11" t="str">
        <f>IF(D886="","",IF(ISNA(MATCH(D886,'Master Produk'!$A$2:$A$101,0)),"SKU tidak ada di master",IF(AND(C886="Stok masuk",F886&lt;0),"Stok masuk harus +",IF(AND(C886="Stok keluar",F886&gt;0),"Stok keluar harus -",IF(H886&lt;0,"Stok negatif","OK")))))</f>
        <v/>
      </c>
    </row>
    <row r="887" spans="1:11" x14ac:dyDescent="0.3">
      <c r="A887" s="9" t="str">
        <f t="shared" si="26"/>
        <v/>
      </c>
      <c r="B887" s="10"/>
      <c r="C887" s="5"/>
      <c r="D887" s="5"/>
      <c r="E887" s="11" t="str">
        <f>IF(D887="","",IFERROR(INDEX('Master Produk'!$B$2:$B$101,MATCH(D887,'Master Produk'!$A$2:$A$101,0)),"SKU tidak ada di master"))</f>
        <v/>
      </c>
      <c r="F887" s="6"/>
      <c r="G887" s="12" t="str">
        <f>IF(D887="","",IFERROR(INDEX('Master Produk'!$C$2:$C$101,MATCH(D887,'Master Produk'!$A$2:$A$101,0)),0)+SUMIFS(F$1:F886,D$1:D886,D887))</f>
        <v/>
      </c>
      <c r="H887" s="12" t="str">
        <f t="shared" si="27"/>
        <v/>
      </c>
      <c r="I887" s="5"/>
      <c r="J887" s="5"/>
      <c r="K887" s="11" t="str">
        <f>IF(D887="","",IF(ISNA(MATCH(D887,'Master Produk'!$A$2:$A$101,0)),"SKU tidak ada di master",IF(AND(C887="Stok masuk",F887&lt;0),"Stok masuk harus +",IF(AND(C887="Stok keluar",F887&gt;0),"Stok keluar harus -",IF(H887&lt;0,"Stok negatif","OK")))))</f>
        <v/>
      </c>
    </row>
    <row r="888" spans="1:11" x14ac:dyDescent="0.3">
      <c r="A888" s="9" t="str">
        <f t="shared" si="26"/>
        <v/>
      </c>
      <c r="B888" s="10"/>
      <c r="C888" s="5"/>
      <c r="D888" s="5"/>
      <c r="E888" s="11" t="str">
        <f>IF(D888="","",IFERROR(INDEX('Master Produk'!$B$2:$B$101,MATCH(D888,'Master Produk'!$A$2:$A$101,0)),"SKU tidak ada di master"))</f>
        <v/>
      </c>
      <c r="F888" s="6"/>
      <c r="G888" s="12" t="str">
        <f>IF(D888="","",IFERROR(INDEX('Master Produk'!$C$2:$C$101,MATCH(D888,'Master Produk'!$A$2:$A$101,0)),0)+SUMIFS(F$1:F887,D$1:D887,D888))</f>
        <v/>
      </c>
      <c r="H888" s="12" t="str">
        <f t="shared" si="27"/>
        <v/>
      </c>
      <c r="I888" s="5"/>
      <c r="J888" s="5"/>
      <c r="K888" s="11" t="str">
        <f>IF(D888="","",IF(ISNA(MATCH(D888,'Master Produk'!$A$2:$A$101,0)),"SKU tidak ada di master",IF(AND(C888="Stok masuk",F888&lt;0),"Stok masuk harus +",IF(AND(C888="Stok keluar",F888&gt;0),"Stok keluar harus -",IF(H888&lt;0,"Stok negatif","OK")))))</f>
        <v/>
      </c>
    </row>
    <row r="889" spans="1:11" x14ac:dyDescent="0.3">
      <c r="A889" s="9" t="str">
        <f t="shared" si="26"/>
        <v/>
      </c>
      <c r="B889" s="10"/>
      <c r="C889" s="5"/>
      <c r="D889" s="5"/>
      <c r="E889" s="11" t="str">
        <f>IF(D889="","",IFERROR(INDEX('Master Produk'!$B$2:$B$101,MATCH(D889,'Master Produk'!$A$2:$A$101,0)),"SKU tidak ada di master"))</f>
        <v/>
      </c>
      <c r="F889" s="6"/>
      <c r="G889" s="12" t="str">
        <f>IF(D889="","",IFERROR(INDEX('Master Produk'!$C$2:$C$101,MATCH(D889,'Master Produk'!$A$2:$A$101,0)),0)+SUMIFS(F$1:F888,D$1:D888,D889))</f>
        <v/>
      </c>
      <c r="H889" s="12" t="str">
        <f t="shared" si="27"/>
        <v/>
      </c>
      <c r="I889" s="5"/>
      <c r="J889" s="5"/>
      <c r="K889" s="11" t="str">
        <f>IF(D889="","",IF(ISNA(MATCH(D889,'Master Produk'!$A$2:$A$101,0)),"SKU tidak ada di master",IF(AND(C889="Stok masuk",F889&lt;0),"Stok masuk harus +",IF(AND(C889="Stok keluar",F889&gt;0),"Stok keluar harus -",IF(H889&lt;0,"Stok negatif","OK")))))</f>
        <v/>
      </c>
    </row>
    <row r="890" spans="1:11" x14ac:dyDescent="0.3">
      <c r="A890" s="9" t="str">
        <f t="shared" si="26"/>
        <v/>
      </c>
      <c r="B890" s="10"/>
      <c r="C890" s="5"/>
      <c r="D890" s="5"/>
      <c r="E890" s="11" t="str">
        <f>IF(D890="","",IFERROR(INDEX('Master Produk'!$B$2:$B$101,MATCH(D890,'Master Produk'!$A$2:$A$101,0)),"SKU tidak ada di master"))</f>
        <v/>
      </c>
      <c r="F890" s="6"/>
      <c r="G890" s="12" t="str">
        <f>IF(D890="","",IFERROR(INDEX('Master Produk'!$C$2:$C$101,MATCH(D890,'Master Produk'!$A$2:$A$101,0)),0)+SUMIFS(F$1:F889,D$1:D889,D890))</f>
        <v/>
      </c>
      <c r="H890" s="12" t="str">
        <f t="shared" si="27"/>
        <v/>
      </c>
      <c r="I890" s="5"/>
      <c r="J890" s="5"/>
      <c r="K890" s="11" t="str">
        <f>IF(D890="","",IF(ISNA(MATCH(D890,'Master Produk'!$A$2:$A$101,0)),"SKU tidak ada di master",IF(AND(C890="Stok masuk",F890&lt;0),"Stok masuk harus +",IF(AND(C890="Stok keluar",F890&gt;0),"Stok keluar harus -",IF(H890&lt;0,"Stok negatif","OK")))))</f>
        <v/>
      </c>
    </row>
    <row r="891" spans="1:11" x14ac:dyDescent="0.3">
      <c r="A891" s="9" t="str">
        <f t="shared" si="26"/>
        <v/>
      </c>
      <c r="B891" s="10"/>
      <c r="C891" s="5"/>
      <c r="D891" s="5"/>
      <c r="E891" s="11" t="str">
        <f>IF(D891="","",IFERROR(INDEX('Master Produk'!$B$2:$B$101,MATCH(D891,'Master Produk'!$A$2:$A$101,0)),"SKU tidak ada di master"))</f>
        <v/>
      </c>
      <c r="F891" s="6"/>
      <c r="G891" s="12" t="str">
        <f>IF(D891="","",IFERROR(INDEX('Master Produk'!$C$2:$C$101,MATCH(D891,'Master Produk'!$A$2:$A$101,0)),0)+SUMIFS(F$1:F890,D$1:D890,D891))</f>
        <v/>
      </c>
      <c r="H891" s="12" t="str">
        <f t="shared" si="27"/>
        <v/>
      </c>
      <c r="I891" s="5"/>
      <c r="J891" s="5"/>
      <c r="K891" s="11" t="str">
        <f>IF(D891="","",IF(ISNA(MATCH(D891,'Master Produk'!$A$2:$A$101,0)),"SKU tidak ada di master",IF(AND(C891="Stok masuk",F891&lt;0),"Stok masuk harus +",IF(AND(C891="Stok keluar",F891&gt;0),"Stok keluar harus -",IF(H891&lt;0,"Stok negatif","OK")))))</f>
        <v/>
      </c>
    </row>
    <row r="892" spans="1:11" x14ac:dyDescent="0.3">
      <c r="A892" s="9" t="str">
        <f t="shared" si="26"/>
        <v/>
      </c>
      <c r="B892" s="10"/>
      <c r="C892" s="5"/>
      <c r="D892" s="5"/>
      <c r="E892" s="11" t="str">
        <f>IF(D892="","",IFERROR(INDEX('Master Produk'!$B$2:$B$101,MATCH(D892,'Master Produk'!$A$2:$A$101,0)),"SKU tidak ada di master"))</f>
        <v/>
      </c>
      <c r="F892" s="6"/>
      <c r="G892" s="12" t="str">
        <f>IF(D892="","",IFERROR(INDEX('Master Produk'!$C$2:$C$101,MATCH(D892,'Master Produk'!$A$2:$A$101,0)),0)+SUMIFS(F$1:F891,D$1:D891,D892))</f>
        <v/>
      </c>
      <c r="H892" s="12" t="str">
        <f t="shared" si="27"/>
        <v/>
      </c>
      <c r="I892" s="5"/>
      <c r="J892" s="5"/>
      <c r="K892" s="11" t="str">
        <f>IF(D892="","",IF(ISNA(MATCH(D892,'Master Produk'!$A$2:$A$101,0)),"SKU tidak ada di master",IF(AND(C892="Stok masuk",F892&lt;0),"Stok masuk harus +",IF(AND(C892="Stok keluar",F892&gt;0),"Stok keluar harus -",IF(H892&lt;0,"Stok negatif","OK")))))</f>
        <v/>
      </c>
    </row>
    <row r="893" spans="1:11" x14ac:dyDescent="0.3">
      <c r="A893" s="9" t="str">
        <f t="shared" si="26"/>
        <v/>
      </c>
      <c r="B893" s="10"/>
      <c r="C893" s="5"/>
      <c r="D893" s="5"/>
      <c r="E893" s="11" t="str">
        <f>IF(D893="","",IFERROR(INDEX('Master Produk'!$B$2:$B$101,MATCH(D893,'Master Produk'!$A$2:$A$101,0)),"SKU tidak ada di master"))</f>
        <v/>
      </c>
      <c r="F893" s="6"/>
      <c r="G893" s="12" t="str">
        <f>IF(D893="","",IFERROR(INDEX('Master Produk'!$C$2:$C$101,MATCH(D893,'Master Produk'!$A$2:$A$101,0)),0)+SUMIFS(F$1:F892,D$1:D892,D893))</f>
        <v/>
      </c>
      <c r="H893" s="12" t="str">
        <f t="shared" si="27"/>
        <v/>
      </c>
      <c r="I893" s="5"/>
      <c r="J893" s="5"/>
      <c r="K893" s="11" t="str">
        <f>IF(D893="","",IF(ISNA(MATCH(D893,'Master Produk'!$A$2:$A$101,0)),"SKU tidak ada di master",IF(AND(C893="Stok masuk",F893&lt;0),"Stok masuk harus +",IF(AND(C893="Stok keluar",F893&gt;0),"Stok keluar harus -",IF(H893&lt;0,"Stok negatif","OK")))))</f>
        <v/>
      </c>
    </row>
    <row r="894" spans="1:11" x14ac:dyDescent="0.3">
      <c r="A894" s="9" t="str">
        <f t="shared" si="26"/>
        <v/>
      </c>
      <c r="B894" s="10"/>
      <c r="C894" s="5"/>
      <c r="D894" s="5"/>
      <c r="E894" s="11" t="str">
        <f>IF(D894="","",IFERROR(INDEX('Master Produk'!$B$2:$B$101,MATCH(D894,'Master Produk'!$A$2:$A$101,0)),"SKU tidak ada di master"))</f>
        <v/>
      </c>
      <c r="F894" s="6"/>
      <c r="G894" s="12" t="str">
        <f>IF(D894="","",IFERROR(INDEX('Master Produk'!$C$2:$C$101,MATCH(D894,'Master Produk'!$A$2:$A$101,0)),0)+SUMIFS(F$1:F893,D$1:D893,D894))</f>
        <v/>
      </c>
      <c r="H894" s="12" t="str">
        <f t="shared" si="27"/>
        <v/>
      </c>
      <c r="I894" s="5"/>
      <c r="J894" s="5"/>
      <c r="K894" s="11" t="str">
        <f>IF(D894="","",IF(ISNA(MATCH(D894,'Master Produk'!$A$2:$A$101,0)),"SKU tidak ada di master",IF(AND(C894="Stok masuk",F894&lt;0),"Stok masuk harus +",IF(AND(C894="Stok keluar",F894&gt;0),"Stok keluar harus -",IF(H894&lt;0,"Stok negatif","OK")))))</f>
        <v/>
      </c>
    </row>
    <row r="895" spans="1:11" x14ac:dyDescent="0.3">
      <c r="A895" s="9" t="str">
        <f t="shared" si="26"/>
        <v/>
      </c>
      <c r="B895" s="10"/>
      <c r="C895" s="5"/>
      <c r="D895" s="5"/>
      <c r="E895" s="11" t="str">
        <f>IF(D895="","",IFERROR(INDEX('Master Produk'!$B$2:$B$101,MATCH(D895,'Master Produk'!$A$2:$A$101,0)),"SKU tidak ada di master"))</f>
        <v/>
      </c>
      <c r="F895" s="6"/>
      <c r="G895" s="12" t="str">
        <f>IF(D895="","",IFERROR(INDEX('Master Produk'!$C$2:$C$101,MATCH(D895,'Master Produk'!$A$2:$A$101,0)),0)+SUMIFS(F$1:F894,D$1:D894,D895))</f>
        <v/>
      </c>
      <c r="H895" s="12" t="str">
        <f t="shared" si="27"/>
        <v/>
      </c>
      <c r="I895" s="5"/>
      <c r="J895" s="5"/>
      <c r="K895" s="11" t="str">
        <f>IF(D895="","",IF(ISNA(MATCH(D895,'Master Produk'!$A$2:$A$101,0)),"SKU tidak ada di master",IF(AND(C895="Stok masuk",F895&lt;0),"Stok masuk harus +",IF(AND(C895="Stok keluar",F895&gt;0),"Stok keluar harus -",IF(H895&lt;0,"Stok negatif","OK")))))</f>
        <v/>
      </c>
    </row>
    <row r="896" spans="1:11" x14ac:dyDescent="0.3">
      <c r="A896" s="9" t="str">
        <f t="shared" si="26"/>
        <v/>
      </c>
      <c r="B896" s="10"/>
      <c r="C896" s="5"/>
      <c r="D896" s="5"/>
      <c r="E896" s="11" t="str">
        <f>IF(D896="","",IFERROR(INDEX('Master Produk'!$B$2:$B$101,MATCH(D896,'Master Produk'!$A$2:$A$101,0)),"SKU tidak ada di master"))</f>
        <v/>
      </c>
      <c r="F896" s="6"/>
      <c r="G896" s="12" t="str">
        <f>IF(D896="","",IFERROR(INDEX('Master Produk'!$C$2:$C$101,MATCH(D896,'Master Produk'!$A$2:$A$101,0)),0)+SUMIFS(F$1:F895,D$1:D895,D896))</f>
        <v/>
      </c>
      <c r="H896" s="12" t="str">
        <f t="shared" si="27"/>
        <v/>
      </c>
      <c r="I896" s="5"/>
      <c r="J896" s="5"/>
      <c r="K896" s="11" t="str">
        <f>IF(D896="","",IF(ISNA(MATCH(D896,'Master Produk'!$A$2:$A$101,0)),"SKU tidak ada di master",IF(AND(C896="Stok masuk",F896&lt;0),"Stok masuk harus +",IF(AND(C896="Stok keluar",F896&gt;0),"Stok keluar harus -",IF(H896&lt;0,"Stok negatif","OK")))))</f>
        <v/>
      </c>
    </row>
    <row r="897" spans="1:11" x14ac:dyDescent="0.3">
      <c r="A897" s="9" t="str">
        <f t="shared" si="26"/>
        <v/>
      </c>
      <c r="B897" s="10"/>
      <c r="C897" s="5"/>
      <c r="D897" s="5"/>
      <c r="E897" s="11" t="str">
        <f>IF(D897="","",IFERROR(INDEX('Master Produk'!$B$2:$B$101,MATCH(D897,'Master Produk'!$A$2:$A$101,0)),"SKU tidak ada di master"))</f>
        <v/>
      </c>
      <c r="F897" s="6"/>
      <c r="G897" s="12" t="str">
        <f>IF(D897="","",IFERROR(INDEX('Master Produk'!$C$2:$C$101,MATCH(D897,'Master Produk'!$A$2:$A$101,0)),0)+SUMIFS(F$1:F896,D$1:D896,D897))</f>
        <v/>
      </c>
      <c r="H897" s="12" t="str">
        <f t="shared" si="27"/>
        <v/>
      </c>
      <c r="I897" s="5"/>
      <c r="J897" s="5"/>
      <c r="K897" s="11" t="str">
        <f>IF(D897="","",IF(ISNA(MATCH(D897,'Master Produk'!$A$2:$A$101,0)),"SKU tidak ada di master",IF(AND(C897="Stok masuk",F897&lt;0),"Stok masuk harus +",IF(AND(C897="Stok keluar",F897&gt;0),"Stok keluar harus -",IF(H897&lt;0,"Stok negatif","OK")))))</f>
        <v/>
      </c>
    </row>
    <row r="898" spans="1:11" x14ac:dyDescent="0.3">
      <c r="A898" s="9" t="str">
        <f t="shared" ref="A898:A961" si="28">IF(D898="","",ROW()-1)</f>
        <v/>
      </c>
      <c r="B898" s="10"/>
      <c r="C898" s="5"/>
      <c r="D898" s="5"/>
      <c r="E898" s="11" t="str">
        <f>IF(D898="","",IFERROR(INDEX('Master Produk'!$B$2:$B$101,MATCH(D898,'Master Produk'!$A$2:$A$101,0)),"SKU tidak ada di master"))</f>
        <v/>
      </c>
      <c r="F898" s="6"/>
      <c r="G898" s="12" t="str">
        <f>IF(D898="","",IFERROR(INDEX('Master Produk'!$C$2:$C$101,MATCH(D898,'Master Produk'!$A$2:$A$101,0)),0)+SUMIFS(F$1:F897,D$1:D897,D898))</f>
        <v/>
      </c>
      <c r="H898" s="12" t="str">
        <f t="shared" ref="H898:H961" si="29">IF(D898="","",G898+F898)</f>
        <v/>
      </c>
      <c r="I898" s="5"/>
      <c r="J898" s="5"/>
      <c r="K898" s="11" t="str">
        <f>IF(D898="","",IF(ISNA(MATCH(D898,'Master Produk'!$A$2:$A$101,0)),"SKU tidak ada di master",IF(AND(C898="Stok masuk",F898&lt;0),"Stok masuk harus +",IF(AND(C898="Stok keluar",F898&gt;0),"Stok keluar harus -",IF(H898&lt;0,"Stok negatif","OK")))))</f>
        <v/>
      </c>
    </row>
    <row r="899" spans="1:11" x14ac:dyDescent="0.3">
      <c r="A899" s="9" t="str">
        <f t="shared" si="28"/>
        <v/>
      </c>
      <c r="B899" s="10"/>
      <c r="C899" s="5"/>
      <c r="D899" s="5"/>
      <c r="E899" s="11" t="str">
        <f>IF(D899="","",IFERROR(INDEX('Master Produk'!$B$2:$B$101,MATCH(D899,'Master Produk'!$A$2:$A$101,0)),"SKU tidak ada di master"))</f>
        <v/>
      </c>
      <c r="F899" s="6"/>
      <c r="G899" s="12" t="str">
        <f>IF(D899="","",IFERROR(INDEX('Master Produk'!$C$2:$C$101,MATCH(D899,'Master Produk'!$A$2:$A$101,0)),0)+SUMIFS(F$1:F898,D$1:D898,D899))</f>
        <v/>
      </c>
      <c r="H899" s="12" t="str">
        <f t="shared" si="29"/>
        <v/>
      </c>
      <c r="I899" s="5"/>
      <c r="J899" s="5"/>
      <c r="K899" s="11" t="str">
        <f>IF(D899="","",IF(ISNA(MATCH(D899,'Master Produk'!$A$2:$A$101,0)),"SKU tidak ada di master",IF(AND(C899="Stok masuk",F899&lt;0),"Stok masuk harus +",IF(AND(C899="Stok keluar",F899&gt;0),"Stok keluar harus -",IF(H899&lt;0,"Stok negatif","OK")))))</f>
        <v/>
      </c>
    </row>
    <row r="900" spans="1:11" x14ac:dyDescent="0.3">
      <c r="A900" s="9" t="str">
        <f t="shared" si="28"/>
        <v/>
      </c>
      <c r="B900" s="10"/>
      <c r="C900" s="5"/>
      <c r="D900" s="5"/>
      <c r="E900" s="11" t="str">
        <f>IF(D900="","",IFERROR(INDEX('Master Produk'!$B$2:$B$101,MATCH(D900,'Master Produk'!$A$2:$A$101,0)),"SKU tidak ada di master"))</f>
        <v/>
      </c>
      <c r="F900" s="6"/>
      <c r="G900" s="12" t="str">
        <f>IF(D900="","",IFERROR(INDEX('Master Produk'!$C$2:$C$101,MATCH(D900,'Master Produk'!$A$2:$A$101,0)),0)+SUMIFS(F$1:F899,D$1:D899,D900))</f>
        <v/>
      </c>
      <c r="H900" s="12" t="str">
        <f t="shared" si="29"/>
        <v/>
      </c>
      <c r="I900" s="5"/>
      <c r="J900" s="5"/>
      <c r="K900" s="11" t="str">
        <f>IF(D900="","",IF(ISNA(MATCH(D900,'Master Produk'!$A$2:$A$101,0)),"SKU tidak ada di master",IF(AND(C900="Stok masuk",F900&lt;0),"Stok masuk harus +",IF(AND(C900="Stok keluar",F900&gt;0),"Stok keluar harus -",IF(H900&lt;0,"Stok negatif","OK")))))</f>
        <v/>
      </c>
    </row>
    <row r="901" spans="1:11" x14ac:dyDescent="0.3">
      <c r="A901" s="9" t="str">
        <f t="shared" si="28"/>
        <v/>
      </c>
      <c r="B901" s="10"/>
      <c r="C901" s="5"/>
      <c r="D901" s="5"/>
      <c r="E901" s="11" t="str">
        <f>IF(D901="","",IFERROR(INDEX('Master Produk'!$B$2:$B$101,MATCH(D901,'Master Produk'!$A$2:$A$101,0)),"SKU tidak ada di master"))</f>
        <v/>
      </c>
      <c r="F901" s="6"/>
      <c r="G901" s="12" t="str">
        <f>IF(D901="","",IFERROR(INDEX('Master Produk'!$C$2:$C$101,MATCH(D901,'Master Produk'!$A$2:$A$101,0)),0)+SUMIFS(F$1:F900,D$1:D900,D901))</f>
        <v/>
      </c>
      <c r="H901" s="12" t="str">
        <f t="shared" si="29"/>
        <v/>
      </c>
      <c r="I901" s="5"/>
      <c r="J901" s="5"/>
      <c r="K901" s="11" t="str">
        <f>IF(D901="","",IF(ISNA(MATCH(D901,'Master Produk'!$A$2:$A$101,0)),"SKU tidak ada di master",IF(AND(C901="Stok masuk",F901&lt;0),"Stok masuk harus +",IF(AND(C901="Stok keluar",F901&gt;0),"Stok keluar harus -",IF(H901&lt;0,"Stok negatif","OK")))))</f>
        <v/>
      </c>
    </row>
    <row r="902" spans="1:11" x14ac:dyDescent="0.3">
      <c r="A902" s="9" t="str">
        <f t="shared" si="28"/>
        <v/>
      </c>
      <c r="B902" s="10"/>
      <c r="C902" s="5"/>
      <c r="D902" s="5"/>
      <c r="E902" s="11" t="str">
        <f>IF(D902="","",IFERROR(INDEX('Master Produk'!$B$2:$B$101,MATCH(D902,'Master Produk'!$A$2:$A$101,0)),"SKU tidak ada di master"))</f>
        <v/>
      </c>
      <c r="F902" s="6"/>
      <c r="G902" s="12" t="str">
        <f>IF(D902="","",IFERROR(INDEX('Master Produk'!$C$2:$C$101,MATCH(D902,'Master Produk'!$A$2:$A$101,0)),0)+SUMIFS(F$1:F901,D$1:D901,D902))</f>
        <v/>
      </c>
      <c r="H902" s="12" t="str">
        <f t="shared" si="29"/>
        <v/>
      </c>
      <c r="I902" s="5"/>
      <c r="J902" s="5"/>
      <c r="K902" s="11" t="str">
        <f>IF(D902="","",IF(ISNA(MATCH(D902,'Master Produk'!$A$2:$A$101,0)),"SKU tidak ada di master",IF(AND(C902="Stok masuk",F902&lt;0),"Stok masuk harus +",IF(AND(C902="Stok keluar",F902&gt;0),"Stok keluar harus -",IF(H902&lt;0,"Stok negatif","OK")))))</f>
        <v/>
      </c>
    </row>
    <row r="903" spans="1:11" x14ac:dyDescent="0.3">
      <c r="A903" s="9" t="str">
        <f t="shared" si="28"/>
        <v/>
      </c>
      <c r="B903" s="10"/>
      <c r="C903" s="5"/>
      <c r="D903" s="5"/>
      <c r="E903" s="11" t="str">
        <f>IF(D903="","",IFERROR(INDEX('Master Produk'!$B$2:$B$101,MATCH(D903,'Master Produk'!$A$2:$A$101,0)),"SKU tidak ada di master"))</f>
        <v/>
      </c>
      <c r="F903" s="6"/>
      <c r="G903" s="12" t="str">
        <f>IF(D903="","",IFERROR(INDEX('Master Produk'!$C$2:$C$101,MATCH(D903,'Master Produk'!$A$2:$A$101,0)),0)+SUMIFS(F$1:F902,D$1:D902,D903))</f>
        <v/>
      </c>
      <c r="H903" s="12" t="str">
        <f t="shared" si="29"/>
        <v/>
      </c>
      <c r="I903" s="5"/>
      <c r="J903" s="5"/>
      <c r="K903" s="11" t="str">
        <f>IF(D903="","",IF(ISNA(MATCH(D903,'Master Produk'!$A$2:$A$101,0)),"SKU tidak ada di master",IF(AND(C903="Stok masuk",F903&lt;0),"Stok masuk harus +",IF(AND(C903="Stok keluar",F903&gt;0),"Stok keluar harus -",IF(H903&lt;0,"Stok negatif","OK")))))</f>
        <v/>
      </c>
    </row>
    <row r="904" spans="1:11" x14ac:dyDescent="0.3">
      <c r="A904" s="9" t="str">
        <f t="shared" si="28"/>
        <v/>
      </c>
      <c r="B904" s="10"/>
      <c r="C904" s="5"/>
      <c r="D904" s="5"/>
      <c r="E904" s="11" t="str">
        <f>IF(D904="","",IFERROR(INDEX('Master Produk'!$B$2:$B$101,MATCH(D904,'Master Produk'!$A$2:$A$101,0)),"SKU tidak ada di master"))</f>
        <v/>
      </c>
      <c r="F904" s="6"/>
      <c r="G904" s="12" t="str">
        <f>IF(D904="","",IFERROR(INDEX('Master Produk'!$C$2:$C$101,MATCH(D904,'Master Produk'!$A$2:$A$101,0)),0)+SUMIFS(F$1:F903,D$1:D903,D904))</f>
        <v/>
      </c>
      <c r="H904" s="12" t="str">
        <f t="shared" si="29"/>
        <v/>
      </c>
      <c r="I904" s="5"/>
      <c r="J904" s="5"/>
      <c r="K904" s="11" t="str">
        <f>IF(D904="","",IF(ISNA(MATCH(D904,'Master Produk'!$A$2:$A$101,0)),"SKU tidak ada di master",IF(AND(C904="Stok masuk",F904&lt;0),"Stok masuk harus +",IF(AND(C904="Stok keluar",F904&gt;0),"Stok keluar harus -",IF(H904&lt;0,"Stok negatif","OK")))))</f>
        <v/>
      </c>
    </row>
    <row r="905" spans="1:11" x14ac:dyDescent="0.3">
      <c r="A905" s="9" t="str">
        <f t="shared" si="28"/>
        <v/>
      </c>
      <c r="B905" s="10"/>
      <c r="C905" s="5"/>
      <c r="D905" s="5"/>
      <c r="E905" s="11" t="str">
        <f>IF(D905="","",IFERROR(INDEX('Master Produk'!$B$2:$B$101,MATCH(D905,'Master Produk'!$A$2:$A$101,0)),"SKU tidak ada di master"))</f>
        <v/>
      </c>
      <c r="F905" s="6"/>
      <c r="G905" s="12" t="str">
        <f>IF(D905="","",IFERROR(INDEX('Master Produk'!$C$2:$C$101,MATCH(D905,'Master Produk'!$A$2:$A$101,0)),0)+SUMIFS(F$1:F904,D$1:D904,D905))</f>
        <v/>
      </c>
      <c r="H905" s="12" t="str">
        <f t="shared" si="29"/>
        <v/>
      </c>
      <c r="I905" s="5"/>
      <c r="J905" s="5"/>
      <c r="K905" s="11" t="str">
        <f>IF(D905="","",IF(ISNA(MATCH(D905,'Master Produk'!$A$2:$A$101,0)),"SKU tidak ada di master",IF(AND(C905="Stok masuk",F905&lt;0),"Stok masuk harus +",IF(AND(C905="Stok keluar",F905&gt;0),"Stok keluar harus -",IF(H905&lt;0,"Stok negatif","OK")))))</f>
        <v/>
      </c>
    </row>
    <row r="906" spans="1:11" x14ac:dyDescent="0.3">
      <c r="A906" s="9" t="str">
        <f t="shared" si="28"/>
        <v/>
      </c>
      <c r="B906" s="10"/>
      <c r="C906" s="5"/>
      <c r="D906" s="5"/>
      <c r="E906" s="11" t="str">
        <f>IF(D906="","",IFERROR(INDEX('Master Produk'!$B$2:$B$101,MATCH(D906,'Master Produk'!$A$2:$A$101,0)),"SKU tidak ada di master"))</f>
        <v/>
      </c>
      <c r="F906" s="6"/>
      <c r="G906" s="12" t="str">
        <f>IF(D906="","",IFERROR(INDEX('Master Produk'!$C$2:$C$101,MATCH(D906,'Master Produk'!$A$2:$A$101,0)),0)+SUMIFS(F$1:F905,D$1:D905,D906))</f>
        <v/>
      </c>
      <c r="H906" s="12" t="str">
        <f t="shared" si="29"/>
        <v/>
      </c>
      <c r="I906" s="5"/>
      <c r="J906" s="5"/>
      <c r="K906" s="11" t="str">
        <f>IF(D906="","",IF(ISNA(MATCH(D906,'Master Produk'!$A$2:$A$101,0)),"SKU tidak ada di master",IF(AND(C906="Stok masuk",F906&lt;0),"Stok masuk harus +",IF(AND(C906="Stok keluar",F906&gt;0),"Stok keluar harus -",IF(H906&lt;0,"Stok negatif","OK")))))</f>
        <v/>
      </c>
    </row>
    <row r="907" spans="1:11" x14ac:dyDescent="0.3">
      <c r="A907" s="9" t="str">
        <f t="shared" si="28"/>
        <v/>
      </c>
      <c r="B907" s="10"/>
      <c r="C907" s="5"/>
      <c r="D907" s="5"/>
      <c r="E907" s="11" t="str">
        <f>IF(D907="","",IFERROR(INDEX('Master Produk'!$B$2:$B$101,MATCH(D907,'Master Produk'!$A$2:$A$101,0)),"SKU tidak ada di master"))</f>
        <v/>
      </c>
      <c r="F907" s="6"/>
      <c r="G907" s="12" t="str">
        <f>IF(D907="","",IFERROR(INDEX('Master Produk'!$C$2:$C$101,MATCH(D907,'Master Produk'!$A$2:$A$101,0)),0)+SUMIFS(F$1:F906,D$1:D906,D907))</f>
        <v/>
      </c>
      <c r="H907" s="12" t="str">
        <f t="shared" si="29"/>
        <v/>
      </c>
      <c r="I907" s="5"/>
      <c r="J907" s="5"/>
      <c r="K907" s="11" t="str">
        <f>IF(D907="","",IF(ISNA(MATCH(D907,'Master Produk'!$A$2:$A$101,0)),"SKU tidak ada di master",IF(AND(C907="Stok masuk",F907&lt;0),"Stok masuk harus +",IF(AND(C907="Stok keluar",F907&gt;0),"Stok keluar harus -",IF(H907&lt;0,"Stok negatif","OK")))))</f>
        <v/>
      </c>
    </row>
    <row r="908" spans="1:11" x14ac:dyDescent="0.3">
      <c r="A908" s="9" t="str">
        <f t="shared" si="28"/>
        <v/>
      </c>
      <c r="B908" s="10"/>
      <c r="C908" s="5"/>
      <c r="D908" s="5"/>
      <c r="E908" s="11" t="str">
        <f>IF(D908="","",IFERROR(INDEX('Master Produk'!$B$2:$B$101,MATCH(D908,'Master Produk'!$A$2:$A$101,0)),"SKU tidak ada di master"))</f>
        <v/>
      </c>
      <c r="F908" s="6"/>
      <c r="G908" s="12" t="str">
        <f>IF(D908="","",IFERROR(INDEX('Master Produk'!$C$2:$C$101,MATCH(D908,'Master Produk'!$A$2:$A$101,0)),0)+SUMIFS(F$1:F907,D$1:D907,D908))</f>
        <v/>
      </c>
      <c r="H908" s="12" t="str">
        <f t="shared" si="29"/>
        <v/>
      </c>
      <c r="I908" s="5"/>
      <c r="J908" s="5"/>
      <c r="K908" s="11" t="str">
        <f>IF(D908="","",IF(ISNA(MATCH(D908,'Master Produk'!$A$2:$A$101,0)),"SKU tidak ada di master",IF(AND(C908="Stok masuk",F908&lt;0),"Stok masuk harus +",IF(AND(C908="Stok keluar",F908&gt;0),"Stok keluar harus -",IF(H908&lt;0,"Stok negatif","OK")))))</f>
        <v/>
      </c>
    </row>
    <row r="909" spans="1:11" x14ac:dyDescent="0.3">
      <c r="A909" s="9" t="str">
        <f t="shared" si="28"/>
        <v/>
      </c>
      <c r="B909" s="10"/>
      <c r="C909" s="5"/>
      <c r="D909" s="5"/>
      <c r="E909" s="11" t="str">
        <f>IF(D909="","",IFERROR(INDEX('Master Produk'!$B$2:$B$101,MATCH(D909,'Master Produk'!$A$2:$A$101,0)),"SKU tidak ada di master"))</f>
        <v/>
      </c>
      <c r="F909" s="6"/>
      <c r="G909" s="12" t="str">
        <f>IF(D909="","",IFERROR(INDEX('Master Produk'!$C$2:$C$101,MATCH(D909,'Master Produk'!$A$2:$A$101,0)),0)+SUMIFS(F$1:F908,D$1:D908,D909))</f>
        <v/>
      </c>
      <c r="H909" s="12" t="str">
        <f t="shared" si="29"/>
        <v/>
      </c>
      <c r="I909" s="5"/>
      <c r="J909" s="5"/>
      <c r="K909" s="11" t="str">
        <f>IF(D909="","",IF(ISNA(MATCH(D909,'Master Produk'!$A$2:$A$101,0)),"SKU tidak ada di master",IF(AND(C909="Stok masuk",F909&lt;0),"Stok masuk harus +",IF(AND(C909="Stok keluar",F909&gt;0),"Stok keluar harus -",IF(H909&lt;0,"Stok negatif","OK")))))</f>
        <v/>
      </c>
    </row>
    <row r="910" spans="1:11" x14ac:dyDescent="0.3">
      <c r="A910" s="9" t="str">
        <f t="shared" si="28"/>
        <v/>
      </c>
      <c r="B910" s="10"/>
      <c r="C910" s="5"/>
      <c r="D910" s="5"/>
      <c r="E910" s="11" t="str">
        <f>IF(D910="","",IFERROR(INDEX('Master Produk'!$B$2:$B$101,MATCH(D910,'Master Produk'!$A$2:$A$101,0)),"SKU tidak ada di master"))</f>
        <v/>
      </c>
      <c r="F910" s="6"/>
      <c r="G910" s="12" t="str">
        <f>IF(D910="","",IFERROR(INDEX('Master Produk'!$C$2:$C$101,MATCH(D910,'Master Produk'!$A$2:$A$101,0)),0)+SUMIFS(F$1:F909,D$1:D909,D910))</f>
        <v/>
      </c>
      <c r="H910" s="12" t="str">
        <f t="shared" si="29"/>
        <v/>
      </c>
      <c r="I910" s="5"/>
      <c r="J910" s="5"/>
      <c r="K910" s="11" t="str">
        <f>IF(D910="","",IF(ISNA(MATCH(D910,'Master Produk'!$A$2:$A$101,0)),"SKU tidak ada di master",IF(AND(C910="Stok masuk",F910&lt;0),"Stok masuk harus +",IF(AND(C910="Stok keluar",F910&gt;0),"Stok keluar harus -",IF(H910&lt;0,"Stok negatif","OK")))))</f>
        <v/>
      </c>
    </row>
    <row r="911" spans="1:11" x14ac:dyDescent="0.3">
      <c r="A911" s="9" t="str">
        <f t="shared" si="28"/>
        <v/>
      </c>
      <c r="B911" s="10"/>
      <c r="C911" s="5"/>
      <c r="D911" s="5"/>
      <c r="E911" s="11" t="str">
        <f>IF(D911="","",IFERROR(INDEX('Master Produk'!$B$2:$B$101,MATCH(D911,'Master Produk'!$A$2:$A$101,0)),"SKU tidak ada di master"))</f>
        <v/>
      </c>
      <c r="F911" s="6"/>
      <c r="G911" s="12" t="str">
        <f>IF(D911="","",IFERROR(INDEX('Master Produk'!$C$2:$C$101,MATCH(D911,'Master Produk'!$A$2:$A$101,0)),0)+SUMIFS(F$1:F910,D$1:D910,D911))</f>
        <v/>
      </c>
      <c r="H911" s="12" t="str">
        <f t="shared" si="29"/>
        <v/>
      </c>
      <c r="I911" s="5"/>
      <c r="J911" s="5"/>
      <c r="K911" s="11" t="str">
        <f>IF(D911="","",IF(ISNA(MATCH(D911,'Master Produk'!$A$2:$A$101,0)),"SKU tidak ada di master",IF(AND(C911="Stok masuk",F911&lt;0),"Stok masuk harus +",IF(AND(C911="Stok keluar",F911&gt;0),"Stok keluar harus -",IF(H911&lt;0,"Stok negatif","OK")))))</f>
        <v/>
      </c>
    </row>
    <row r="912" spans="1:11" x14ac:dyDescent="0.3">
      <c r="A912" s="9" t="str">
        <f t="shared" si="28"/>
        <v/>
      </c>
      <c r="B912" s="10"/>
      <c r="C912" s="5"/>
      <c r="D912" s="5"/>
      <c r="E912" s="11" t="str">
        <f>IF(D912="","",IFERROR(INDEX('Master Produk'!$B$2:$B$101,MATCH(D912,'Master Produk'!$A$2:$A$101,0)),"SKU tidak ada di master"))</f>
        <v/>
      </c>
      <c r="F912" s="6"/>
      <c r="G912" s="12" t="str">
        <f>IF(D912="","",IFERROR(INDEX('Master Produk'!$C$2:$C$101,MATCH(D912,'Master Produk'!$A$2:$A$101,0)),0)+SUMIFS(F$1:F911,D$1:D911,D912))</f>
        <v/>
      </c>
      <c r="H912" s="12" t="str">
        <f t="shared" si="29"/>
        <v/>
      </c>
      <c r="I912" s="5"/>
      <c r="J912" s="5"/>
      <c r="K912" s="11" t="str">
        <f>IF(D912="","",IF(ISNA(MATCH(D912,'Master Produk'!$A$2:$A$101,0)),"SKU tidak ada di master",IF(AND(C912="Stok masuk",F912&lt;0),"Stok masuk harus +",IF(AND(C912="Stok keluar",F912&gt;0),"Stok keluar harus -",IF(H912&lt;0,"Stok negatif","OK")))))</f>
        <v/>
      </c>
    </row>
    <row r="913" spans="1:11" x14ac:dyDescent="0.3">
      <c r="A913" s="9" t="str">
        <f t="shared" si="28"/>
        <v/>
      </c>
      <c r="B913" s="10"/>
      <c r="C913" s="5"/>
      <c r="D913" s="5"/>
      <c r="E913" s="11" t="str">
        <f>IF(D913="","",IFERROR(INDEX('Master Produk'!$B$2:$B$101,MATCH(D913,'Master Produk'!$A$2:$A$101,0)),"SKU tidak ada di master"))</f>
        <v/>
      </c>
      <c r="F913" s="6"/>
      <c r="G913" s="12" t="str">
        <f>IF(D913="","",IFERROR(INDEX('Master Produk'!$C$2:$C$101,MATCH(D913,'Master Produk'!$A$2:$A$101,0)),0)+SUMIFS(F$1:F912,D$1:D912,D913))</f>
        <v/>
      </c>
      <c r="H913" s="12" t="str">
        <f t="shared" si="29"/>
        <v/>
      </c>
      <c r="I913" s="5"/>
      <c r="J913" s="5"/>
      <c r="K913" s="11" t="str">
        <f>IF(D913="","",IF(ISNA(MATCH(D913,'Master Produk'!$A$2:$A$101,0)),"SKU tidak ada di master",IF(AND(C913="Stok masuk",F913&lt;0),"Stok masuk harus +",IF(AND(C913="Stok keluar",F913&gt;0),"Stok keluar harus -",IF(H913&lt;0,"Stok negatif","OK")))))</f>
        <v/>
      </c>
    </row>
    <row r="914" spans="1:11" x14ac:dyDescent="0.3">
      <c r="A914" s="9" t="str">
        <f t="shared" si="28"/>
        <v/>
      </c>
      <c r="B914" s="10"/>
      <c r="C914" s="5"/>
      <c r="D914" s="5"/>
      <c r="E914" s="11" t="str">
        <f>IF(D914="","",IFERROR(INDEX('Master Produk'!$B$2:$B$101,MATCH(D914,'Master Produk'!$A$2:$A$101,0)),"SKU tidak ada di master"))</f>
        <v/>
      </c>
      <c r="F914" s="6"/>
      <c r="G914" s="12" t="str">
        <f>IF(D914="","",IFERROR(INDEX('Master Produk'!$C$2:$C$101,MATCH(D914,'Master Produk'!$A$2:$A$101,0)),0)+SUMIFS(F$1:F913,D$1:D913,D914))</f>
        <v/>
      </c>
      <c r="H914" s="12" t="str">
        <f t="shared" si="29"/>
        <v/>
      </c>
      <c r="I914" s="5"/>
      <c r="J914" s="5"/>
      <c r="K914" s="11" t="str">
        <f>IF(D914="","",IF(ISNA(MATCH(D914,'Master Produk'!$A$2:$A$101,0)),"SKU tidak ada di master",IF(AND(C914="Stok masuk",F914&lt;0),"Stok masuk harus +",IF(AND(C914="Stok keluar",F914&gt;0),"Stok keluar harus -",IF(H914&lt;0,"Stok negatif","OK")))))</f>
        <v/>
      </c>
    </row>
    <row r="915" spans="1:11" x14ac:dyDescent="0.3">
      <c r="A915" s="9" t="str">
        <f t="shared" si="28"/>
        <v/>
      </c>
      <c r="B915" s="10"/>
      <c r="C915" s="5"/>
      <c r="D915" s="5"/>
      <c r="E915" s="11" t="str">
        <f>IF(D915="","",IFERROR(INDEX('Master Produk'!$B$2:$B$101,MATCH(D915,'Master Produk'!$A$2:$A$101,0)),"SKU tidak ada di master"))</f>
        <v/>
      </c>
      <c r="F915" s="6"/>
      <c r="G915" s="12" t="str">
        <f>IF(D915="","",IFERROR(INDEX('Master Produk'!$C$2:$C$101,MATCH(D915,'Master Produk'!$A$2:$A$101,0)),0)+SUMIFS(F$1:F914,D$1:D914,D915))</f>
        <v/>
      </c>
      <c r="H915" s="12" t="str">
        <f t="shared" si="29"/>
        <v/>
      </c>
      <c r="I915" s="5"/>
      <c r="J915" s="5"/>
      <c r="K915" s="11" t="str">
        <f>IF(D915="","",IF(ISNA(MATCH(D915,'Master Produk'!$A$2:$A$101,0)),"SKU tidak ada di master",IF(AND(C915="Stok masuk",F915&lt;0),"Stok masuk harus +",IF(AND(C915="Stok keluar",F915&gt;0),"Stok keluar harus -",IF(H915&lt;0,"Stok negatif","OK")))))</f>
        <v/>
      </c>
    </row>
    <row r="916" spans="1:11" x14ac:dyDescent="0.3">
      <c r="A916" s="9" t="str">
        <f t="shared" si="28"/>
        <v/>
      </c>
      <c r="B916" s="10"/>
      <c r="C916" s="5"/>
      <c r="D916" s="5"/>
      <c r="E916" s="11" t="str">
        <f>IF(D916="","",IFERROR(INDEX('Master Produk'!$B$2:$B$101,MATCH(D916,'Master Produk'!$A$2:$A$101,0)),"SKU tidak ada di master"))</f>
        <v/>
      </c>
      <c r="F916" s="6"/>
      <c r="G916" s="12" t="str">
        <f>IF(D916="","",IFERROR(INDEX('Master Produk'!$C$2:$C$101,MATCH(D916,'Master Produk'!$A$2:$A$101,0)),0)+SUMIFS(F$1:F915,D$1:D915,D916))</f>
        <v/>
      </c>
      <c r="H916" s="12" t="str">
        <f t="shared" si="29"/>
        <v/>
      </c>
      <c r="I916" s="5"/>
      <c r="J916" s="5"/>
      <c r="K916" s="11" t="str">
        <f>IF(D916="","",IF(ISNA(MATCH(D916,'Master Produk'!$A$2:$A$101,0)),"SKU tidak ada di master",IF(AND(C916="Stok masuk",F916&lt;0),"Stok masuk harus +",IF(AND(C916="Stok keluar",F916&gt;0),"Stok keluar harus -",IF(H916&lt;0,"Stok negatif","OK")))))</f>
        <v/>
      </c>
    </row>
    <row r="917" spans="1:11" x14ac:dyDescent="0.3">
      <c r="A917" s="9" t="str">
        <f t="shared" si="28"/>
        <v/>
      </c>
      <c r="B917" s="10"/>
      <c r="C917" s="5"/>
      <c r="D917" s="5"/>
      <c r="E917" s="11" t="str">
        <f>IF(D917="","",IFERROR(INDEX('Master Produk'!$B$2:$B$101,MATCH(D917,'Master Produk'!$A$2:$A$101,0)),"SKU tidak ada di master"))</f>
        <v/>
      </c>
      <c r="F917" s="6"/>
      <c r="G917" s="12" t="str">
        <f>IF(D917="","",IFERROR(INDEX('Master Produk'!$C$2:$C$101,MATCH(D917,'Master Produk'!$A$2:$A$101,0)),0)+SUMIFS(F$1:F916,D$1:D916,D917))</f>
        <v/>
      </c>
      <c r="H917" s="12" t="str">
        <f t="shared" si="29"/>
        <v/>
      </c>
      <c r="I917" s="5"/>
      <c r="J917" s="5"/>
      <c r="K917" s="11" t="str">
        <f>IF(D917="","",IF(ISNA(MATCH(D917,'Master Produk'!$A$2:$A$101,0)),"SKU tidak ada di master",IF(AND(C917="Stok masuk",F917&lt;0),"Stok masuk harus +",IF(AND(C917="Stok keluar",F917&gt;0),"Stok keluar harus -",IF(H917&lt;0,"Stok negatif","OK")))))</f>
        <v/>
      </c>
    </row>
    <row r="918" spans="1:11" x14ac:dyDescent="0.3">
      <c r="A918" s="9" t="str">
        <f t="shared" si="28"/>
        <v/>
      </c>
      <c r="B918" s="10"/>
      <c r="C918" s="5"/>
      <c r="D918" s="5"/>
      <c r="E918" s="11" t="str">
        <f>IF(D918="","",IFERROR(INDEX('Master Produk'!$B$2:$B$101,MATCH(D918,'Master Produk'!$A$2:$A$101,0)),"SKU tidak ada di master"))</f>
        <v/>
      </c>
      <c r="F918" s="6"/>
      <c r="G918" s="12" t="str">
        <f>IF(D918="","",IFERROR(INDEX('Master Produk'!$C$2:$C$101,MATCH(D918,'Master Produk'!$A$2:$A$101,0)),0)+SUMIFS(F$1:F917,D$1:D917,D918))</f>
        <v/>
      </c>
      <c r="H918" s="12" t="str">
        <f t="shared" si="29"/>
        <v/>
      </c>
      <c r="I918" s="5"/>
      <c r="J918" s="5"/>
      <c r="K918" s="11" t="str">
        <f>IF(D918="","",IF(ISNA(MATCH(D918,'Master Produk'!$A$2:$A$101,0)),"SKU tidak ada di master",IF(AND(C918="Stok masuk",F918&lt;0),"Stok masuk harus +",IF(AND(C918="Stok keluar",F918&gt;0),"Stok keluar harus -",IF(H918&lt;0,"Stok negatif","OK")))))</f>
        <v/>
      </c>
    </row>
    <row r="919" spans="1:11" x14ac:dyDescent="0.3">
      <c r="A919" s="9" t="str">
        <f t="shared" si="28"/>
        <v/>
      </c>
      <c r="B919" s="10"/>
      <c r="C919" s="5"/>
      <c r="D919" s="5"/>
      <c r="E919" s="11" t="str">
        <f>IF(D919="","",IFERROR(INDEX('Master Produk'!$B$2:$B$101,MATCH(D919,'Master Produk'!$A$2:$A$101,0)),"SKU tidak ada di master"))</f>
        <v/>
      </c>
      <c r="F919" s="6"/>
      <c r="G919" s="12" t="str">
        <f>IF(D919="","",IFERROR(INDEX('Master Produk'!$C$2:$C$101,MATCH(D919,'Master Produk'!$A$2:$A$101,0)),0)+SUMIFS(F$1:F918,D$1:D918,D919))</f>
        <v/>
      </c>
      <c r="H919" s="12" t="str">
        <f t="shared" si="29"/>
        <v/>
      </c>
      <c r="I919" s="5"/>
      <c r="J919" s="5"/>
      <c r="K919" s="11" t="str">
        <f>IF(D919="","",IF(ISNA(MATCH(D919,'Master Produk'!$A$2:$A$101,0)),"SKU tidak ada di master",IF(AND(C919="Stok masuk",F919&lt;0),"Stok masuk harus +",IF(AND(C919="Stok keluar",F919&gt;0),"Stok keluar harus -",IF(H919&lt;0,"Stok negatif","OK")))))</f>
        <v/>
      </c>
    </row>
    <row r="920" spans="1:11" x14ac:dyDescent="0.3">
      <c r="A920" s="9" t="str">
        <f t="shared" si="28"/>
        <v/>
      </c>
      <c r="B920" s="10"/>
      <c r="C920" s="5"/>
      <c r="D920" s="5"/>
      <c r="E920" s="11" t="str">
        <f>IF(D920="","",IFERROR(INDEX('Master Produk'!$B$2:$B$101,MATCH(D920,'Master Produk'!$A$2:$A$101,0)),"SKU tidak ada di master"))</f>
        <v/>
      </c>
      <c r="F920" s="6"/>
      <c r="G920" s="12" t="str">
        <f>IF(D920="","",IFERROR(INDEX('Master Produk'!$C$2:$C$101,MATCH(D920,'Master Produk'!$A$2:$A$101,0)),0)+SUMIFS(F$1:F919,D$1:D919,D920))</f>
        <v/>
      </c>
      <c r="H920" s="12" t="str">
        <f t="shared" si="29"/>
        <v/>
      </c>
      <c r="I920" s="5"/>
      <c r="J920" s="5"/>
      <c r="K920" s="11" t="str">
        <f>IF(D920="","",IF(ISNA(MATCH(D920,'Master Produk'!$A$2:$A$101,0)),"SKU tidak ada di master",IF(AND(C920="Stok masuk",F920&lt;0),"Stok masuk harus +",IF(AND(C920="Stok keluar",F920&gt;0),"Stok keluar harus -",IF(H920&lt;0,"Stok negatif","OK")))))</f>
        <v/>
      </c>
    </row>
    <row r="921" spans="1:11" x14ac:dyDescent="0.3">
      <c r="A921" s="9" t="str">
        <f t="shared" si="28"/>
        <v/>
      </c>
      <c r="B921" s="10"/>
      <c r="C921" s="5"/>
      <c r="D921" s="5"/>
      <c r="E921" s="11" t="str">
        <f>IF(D921="","",IFERROR(INDEX('Master Produk'!$B$2:$B$101,MATCH(D921,'Master Produk'!$A$2:$A$101,0)),"SKU tidak ada di master"))</f>
        <v/>
      </c>
      <c r="F921" s="6"/>
      <c r="G921" s="12" t="str">
        <f>IF(D921="","",IFERROR(INDEX('Master Produk'!$C$2:$C$101,MATCH(D921,'Master Produk'!$A$2:$A$101,0)),0)+SUMIFS(F$1:F920,D$1:D920,D921))</f>
        <v/>
      </c>
      <c r="H921" s="12" t="str">
        <f t="shared" si="29"/>
        <v/>
      </c>
      <c r="I921" s="5"/>
      <c r="J921" s="5"/>
      <c r="K921" s="11" t="str">
        <f>IF(D921="","",IF(ISNA(MATCH(D921,'Master Produk'!$A$2:$A$101,0)),"SKU tidak ada di master",IF(AND(C921="Stok masuk",F921&lt;0),"Stok masuk harus +",IF(AND(C921="Stok keluar",F921&gt;0),"Stok keluar harus -",IF(H921&lt;0,"Stok negatif","OK")))))</f>
        <v/>
      </c>
    </row>
    <row r="922" spans="1:11" x14ac:dyDescent="0.3">
      <c r="A922" s="9" t="str">
        <f t="shared" si="28"/>
        <v/>
      </c>
      <c r="B922" s="10"/>
      <c r="C922" s="5"/>
      <c r="D922" s="5"/>
      <c r="E922" s="11" t="str">
        <f>IF(D922="","",IFERROR(INDEX('Master Produk'!$B$2:$B$101,MATCH(D922,'Master Produk'!$A$2:$A$101,0)),"SKU tidak ada di master"))</f>
        <v/>
      </c>
      <c r="F922" s="6"/>
      <c r="G922" s="12" t="str">
        <f>IF(D922="","",IFERROR(INDEX('Master Produk'!$C$2:$C$101,MATCH(D922,'Master Produk'!$A$2:$A$101,0)),0)+SUMIFS(F$1:F921,D$1:D921,D922))</f>
        <v/>
      </c>
      <c r="H922" s="12" t="str">
        <f t="shared" si="29"/>
        <v/>
      </c>
      <c r="I922" s="5"/>
      <c r="J922" s="5"/>
      <c r="K922" s="11" t="str">
        <f>IF(D922="","",IF(ISNA(MATCH(D922,'Master Produk'!$A$2:$A$101,0)),"SKU tidak ada di master",IF(AND(C922="Stok masuk",F922&lt;0),"Stok masuk harus +",IF(AND(C922="Stok keluar",F922&gt;0),"Stok keluar harus -",IF(H922&lt;0,"Stok negatif","OK")))))</f>
        <v/>
      </c>
    </row>
    <row r="923" spans="1:11" x14ac:dyDescent="0.3">
      <c r="A923" s="9" t="str">
        <f t="shared" si="28"/>
        <v/>
      </c>
      <c r="B923" s="10"/>
      <c r="C923" s="5"/>
      <c r="D923" s="5"/>
      <c r="E923" s="11" t="str">
        <f>IF(D923="","",IFERROR(INDEX('Master Produk'!$B$2:$B$101,MATCH(D923,'Master Produk'!$A$2:$A$101,0)),"SKU tidak ada di master"))</f>
        <v/>
      </c>
      <c r="F923" s="6"/>
      <c r="G923" s="12" t="str">
        <f>IF(D923="","",IFERROR(INDEX('Master Produk'!$C$2:$C$101,MATCH(D923,'Master Produk'!$A$2:$A$101,0)),0)+SUMIFS(F$1:F922,D$1:D922,D923))</f>
        <v/>
      </c>
      <c r="H923" s="12" t="str">
        <f t="shared" si="29"/>
        <v/>
      </c>
      <c r="I923" s="5"/>
      <c r="J923" s="5"/>
      <c r="K923" s="11" t="str">
        <f>IF(D923="","",IF(ISNA(MATCH(D923,'Master Produk'!$A$2:$A$101,0)),"SKU tidak ada di master",IF(AND(C923="Stok masuk",F923&lt;0),"Stok masuk harus +",IF(AND(C923="Stok keluar",F923&gt;0),"Stok keluar harus -",IF(H923&lt;0,"Stok negatif","OK")))))</f>
        <v/>
      </c>
    </row>
    <row r="924" spans="1:11" x14ac:dyDescent="0.3">
      <c r="A924" s="9" t="str">
        <f t="shared" si="28"/>
        <v/>
      </c>
      <c r="B924" s="10"/>
      <c r="C924" s="5"/>
      <c r="D924" s="5"/>
      <c r="E924" s="11" t="str">
        <f>IF(D924="","",IFERROR(INDEX('Master Produk'!$B$2:$B$101,MATCH(D924,'Master Produk'!$A$2:$A$101,0)),"SKU tidak ada di master"))</f>
        <v/>
      </c>
      <c r="F924" s="6"/>
      <c r="G924" s="12" t="str">
        <f>IF(D924="","",IFERROR(INDEX('Master Produk'!$C$2:$C$101,MATCH(D924,'Master Produk'!$A$2:$A$101,0)),0)+SUMIFS(F$1:F923,D$1:D923,D924))</f>
        <v/>
      </c>
      <c r="H924" s="12" t="str">
        <f t="shared" si="29"/>
        <v/>
      </c>
      <c r="I924" s="5"/>
      <c r="J924" s="5"/>
      <c r="K924" s="11" t="str">
        <f>IF(D924="","",IF(ISNA(MATCH(D924,'Master Produk'!$A$2:$A$101,0)),"SKU tidak ada di master",IF(AND(C924="Stok masuk",F924&lt;0),"Stok masuk harus +",IF(AND(C924="Stok keluar",F924&gt;0),"Stok keluar harus -",IF(H924&lt;0,"Stok negatif","OK")))))</f>
        <v/>
      </c>
    </row>
    <row r="925" spans="1:11" x14ac:dyDescent="0.3">
      <c r="A925" s="9" t="str">
        <f t="shared" si="28"/>
        <v/>
      </c>
      <c r="B925" s="10"/>
      <c r="C925" s="5"/>
      <c r="D925" s="5"/>
      <c r="E925" s="11" t="str">
        <f>IF(D925="","",IFERROR(INDEX('Master Produk'!$B$2:$B$101,MATCH(D925,'Master Produk'!$A$2:$A$101,0)),"SKU tidak ada di master"))</f>
        <v/>
      </c>
      <c r="F925" s="6"/>
      <c r="G925" s="12" t="str">
        <f>IF(D925="","",IFERROR(INDEX('Master Produk'!$C$2:$C$101,MATCH(D925,'Master Produk'!$A$2:$A$101,0)),0)+SUMIFS(F$1:F924,D$1:D924,D925))</f>
        <v/>
      </c>
      <c r="H925" s="12" t="str">
        <f t="shared" si="29"/>
        <v/>
      </c>
      <c r="I925" s="5"/>
      <c r="J925" s="5"/>
      <c r="K925" s="11" t="str">
        <f>IF(D925="","",IF(ISNA(MATCH(D925,'Master Produk'!$A$2:$A$101,0)),"SKU tidak ada di master",IF(AND(C925="Stok masuk",F925&lt;0),"Stok masuk harus +",IF(AND(C925="Stok keluar",F925&gt;0),"Stok keluar harus -",IF(H925&lt;0,"Stok negatif","OK")))))</f>
        <v/>
      </c>
    </row>
    <row r="926" spans="1:11" x14ac:dyDescent="0.3">
      <c r="A926" s="9" t="str">
        <f t="shared" si="28"/>
        <v/>
      </c>
      <c r="B926" s="10"/>
      <c r="C926" s="5"/>
      <c r="D926" s="5"/>
      <c r="E926" s="11" t="str">
        <f>IF(D926="","",IFERROR(INDEX('Master Produk'!$B$2:$B$101,MATCH(D926,'Master Produk'!$A$2:$A$101,0)),"SKU tidak ada di master"))</f>
        <v/>
      </c>
      <c r="F926" s="6"/>
      <c r="G926" s="12" t="str">
        <f>IF(D926="","",IFERROR(INDEX('Master Produk'!$C$2:$C$101,MATCH(D926,'Master Produk'!$A$2:$A$101,0)),0)+SUMIFS(F$1:F925,D$1:D925,D926))</f>
        <v/>
      </c>
      <c r="H926" s="12" t="str">
        <f t="shared" si="29"/>
        <v/>
      </c>
      <c r="I926" s="5"/>
      <c r="J926" s="5"/>
      <c r="K926" s="11" t="str">
        <f>IF(D926="","",IF(ISNA(MATCH(D926,'Master Produk'!$A$2:$A$101,0)),"SKU tidak ada di master",IF(AND(C926="Stok masuk",F926&lt;0),"Stok masuk harus +",IF(AND(C926="Stok keluar",F926&gt;0),"Stok keluar harus -",IF(H926&lt;0,"Stok negatif","OK")))))</f>
        <v/>
      </c>
    </row>
    <row r="927" spans="1:11" x14ac:dyDescent="0.3">
      <c r="A927" s="9" t="str">
        <f t="shared" si="28"/>
        <v/>
      </c>
      <c r="B927" s="10"/>
      <c r="C927" s="5"/>
      <c r="D927" s="5"/>
      <c r="E927" s="11" t="str">
        <f>IF(D927="","",IFERROR(INDEX('Master Produk'!$B$2:$B$101,MATCH(D927,'Master Produk'!$A$2:$A$101,0)),"SKU tidak ada di master"))</f>
        <v/>
      </c>
      <c r="F927" s="6"/>
      <c r="G927" s="12" t="str">
        <f>IF(D927="","",IFERROR(INDEX('Master Produk'!$C$2:$C$101,MATCH(D927,'Master Produk'!$A$2:$A$101,0)),0)+SUMIFS(F$1:F926,D$1:D926,D927))</f>
        <v/>
      </c>
      <c r="H927" s="12" t="str">
        <f t="shared" si="29"/>
        <v/>
      </c>
      <c r="I927" s="5"/>
      <c r="J927" s="5"/>
      <c r="K927" s="11" t="str">
        <f>IF(D927="","",IF(ISNA(MATCH(D927,'Master Produk'!$A$2:$A$101,0)),"SKU tidak ada di master",IF(AND(C927="Stok masuk",F927&lt;0),"Stok masuk harus +",IF(AND(C927="Stok keluar",F927&gt;0),"Stok keluar harus -",IF(H927&lt;0,"Stok negatif","OK")))))</f>
        <v/>
      </c>
    </row>
    <row r="928" spans="1:11" x14ac:dyDescent="0.3">
      <c r="A928" s="9" t="str">
        <f t="shared" si="28"/>
        <v/>
      </c>
      <c r="B928" s="10"/>
      <c r="C928" s="5"/>
      <c r="D928" s="5"/>
      <c r="E928" s="11" t="str">
        <f>IF(D928="","",IFERROR(INDEX('Master Produk'!$B$2:$B$101,MATCH(D928,'Master Produk'!$A$2:$A$101,0)),"SKU tidak ada di master"))</f>
        <v/>
      </c>
      <c r="F928" s="6"/>
      <c r="G928" s="12" t="str">
        <f>IF(D928="","",IFERROR(INDEX('Master Produk'!$C$2:$C$101,MATCH(D928,'Master Produk'!$A$2:$A$101,0)),0)+SUMIFS(F$1:F927,D$1:D927,D928))</f>
        <v/>
      </c>
      <c r="H928" s="12" t="str">
        <f t="shared" si="29"/>
        <v/>
      </c>
      <c r="I928" s="5"/>
      <c r="J928" s="5"/>
      <c r="K928" s="11" t="str">
        <f>IF(D928="","",IF(ISNA(MATCH(D928,'Master Produk'!$A$2:$A$101,0)),"SKU tidak ada di master",IF(AND(C928="Stok masuk",F928&lt;0),"Stok masuk harus +",IF(AND(C928="Stok keluar",F928&gt;0),"Stok keluar harus -",IF(H928&lt;0,"Stok negatif","OK")))))</f>
        <v/>
      </c>
    </row>
    <row r="929" spans="1:11" x14ac:dyDescent="0.3">
      <c r="A929" s="9" t="str">
        <f t="shared" si="28"/>
        <v/>
      </c>
      <c r="B929" s="10"/>
      <c r="C929" s="5"/>
      <c r="D929" s="5"/>
      <c r="E929" s="11" t="str">
        <f>IF(D929="","",IFERROR(INDEX('Master Produk'!$B$2:$B$101,MATCH(D929,'Master Produk'!$A$2:$A$101,0)),"SKU tidak ada di master"))</f>
        <v/>
      </c>
      <c r="F929" s="6"/>
      <c r="G929" s="12" t="str">
        <f>IF(D929="","",IFERROR(INDEX('Master Produk'!$C$2:$C$101,MATCH(D929,'Master Produk'!$A$2:$A$101,0)),0)+SUMIFS(F$1:F928,D$1:D928,D929))</f>
        <v/>
      </c>
      <c r="H929" s="12" t="str">
        <f t="shared" si="29"/>
        <v/>
      </c>
      <c r="I929" s="5"/>
      <c r="J929" s="5"/>
      <c r="K929" s="11" t="str">
        <f>IF(D929="","",IF(ISNA(MATCH(D929,'Master Produk'!$A$2:$A$101,0)),"SKU tidak ada di master",IF(AND(C929="Stok masuk",F929&lt;0),"Stok masuk harus +",IF(AND(C929="Stok keluar",F929&gt;0),"Stok keluar harus -",IF(H929&lt;0,"Stok negatif","OK")))))</f>
        <v/>
      </c>
    </row>
    <row r="930" spans="1:11" x14ac:dyDescent="0.3">
      <c r="A930" s="9" t="str">
        <f t="shared" si="28"/>
        <v/>
      </c>
      <c r="B930" s="10"/>
      <c r="C930" s="5"/>
      <c r="D930" s="5"/>
      <c r="E930" s="11" t="str">
        <f>IF(D930="","",IFERROR(INDEX('Master Produk'!$B$2:$B$101,MATCH(D930,'Master Produk'!$A$2:$A$101,0)),"SKU tidak ada di master"))</f>
        <v/>
      </c>
      <c r="F930" s="6"/>
      <c r="G930" s="12" t="str">
        <f>IF(D930="","",IFERROR(INDEX('Master Produk'!$C$2:$C$101,MATCH(D930,'Master Produk'!$A$2:$A$101,0)),0)+SUMIFS(F$1:F929,D$1:D929,D930))</f>
        <v/>
      </c>
      <c r="H930" s="12" t="str">
        <f t="shared" si="29"/>
        <v/>
      </c>
      <c r="I930" s="5"/>
      <c r="J930" s="5"/>
      <c r="K930" s="11" t="str">
        <f>IF(D930="","",IF(ISNA(MATCH(D930,'Master Produk'!$A$2:$A$101,0)),"SKU tidak ada di master",IF(AND(C930="Stok masuk",F930&lt;0),"Stok masuk harus +",IF(AND(C930="Stok keluar",F930&gt;0),"Stok keluar harus -",IF(H930&lt;0,"Stok negatif","OK")))))</f>
        <v/>
      </c>
    </row>
    <row r="931" spans="1:11" x14ac:dyDescent="0.3">
      <c r="A931" s="9" t="str">
        <f t="shared" si="28"/>
        <v/>
      </c>
      <c r="B931" s="10"/>
      <c r="C931" s="5"/>
      <c r="D931" s="5"/>
      <c r="E931" s="11" t="str">
        <f>IF(D931="","",IFERROR(INDEX('Master Produk'!$B$2:$B$101,MATCH(D931,'Master Produk'!$A$2:$A$101,0)),"SKU tidak ada di master"))</f>
        <v/>
      </c>
      <c r="F931" s="6"/>
      <c r="G931" s="12" t="str">
        <f>IF(D931="","",IFERROR(INDEX('Master Produk'!$C$2:$C$101,MATCH(D931,'Master Produk'!$A$2:$A$101,0)),0)+SUMIFS(F$1:F930,D$1:D930,D931))</f>
        <v/>
      </c>
      <c r="H931" s="12" t="str">
        <f t="shared" si="29"/>
        <v/>
      </c>
      <c r="I931" s="5"/>
      <c r="J931" s="5"/>
      <c r="K931" s="11" t="str">
        <f>IF(D931="","",IF(ISNA(MATCH(D931,'Master Produk'!$A$2:$A$101,0)),"SKU tidak ada di master",IF(AND(C931="Stok masuk",F931&lt;0),"Stok masuk harus +",IF(AND(C931="Stok keluar",F931&gt;0),"Stok keluar harus -",IF(H931&lt;0,"Stok negatif","OK")))))</f>
        <v/>
      </c>
    </row>
    <row r="932" spans="1:11" x14ac:dyDescent="0.3">
      <c r="A932" s="9" t="str">
        <f t="shared" si="28"/>
        <v/>
      </c>
      <c r="B932" s="10"/>
      <c r="C932" s="5"/>
      <c r="D932" s="5"/>
      <c r="E932" s="11" t="str">
        <f>IF(D932="","",IFERROR(INDEX('Master Produk'!$B$2:$B$101,MATCH(D932,'Master Produk'!$A$2:$A$101,0)),"SKU tidak ada di master"))</f>
        <v/>
      </c>
      <c r="F932" s="6"/>
      <c r="G932" s="12" t="str">
        <f>IF(D932="","",IFERROR(INDEX('Master Produk'!$C$2:$C$101,MATCH(D932,'Master Produk'!$A$2:$A$101,0)),0)+SUMIFS(F$1:F931,D$1:D931,D932))</f>
        <v/>
      </c>
      <c r="H932" s="12" t="str">
        <f t="shared" si="29"/>
        <v/>
      </c>
      <c r="I932" s="5"/>
      <c r="J932" s="5"/>
      <c r="K932" s="11" t="str">
        <f>IF(D932="","",IF(ISNA(MATCH(D932,'Master Produk'!$A$2:$A$101,0)),"SKU tidak ada di master",IF(AND(C932="Stok masuk",F932&lt;0),"Stok masuk harus +",IF(AND(C932="Stok keluar",F932&gt;0),"Stok keluar harus -",IF(H932&lt;0,"Stok negatif","OK")))))</f>
        <v/>
      </c>
    </row>
    <row r="933" spans="1:11" x14ac:dyDescent="0.3">
      <c r="A933" s="9" t="str">
        <f t="shared" si="28"/>
        <v/>
      </c>
      <c r="B933" s="10"/>
      <c r="C933" s="5"/>
      <c r="D933" s="5"/>
      <c r="E933" s="11" t="str">
        <f>IF(D933="","",IFERROR(INDEX('Master Produk'!$B$2:$B$101,MATCH(D933,'Master Produk'!$A$2:$A$101,0)),"SKU tidak ada di master"))</f>
        <v/>
      </c>
      <c r="F933" s="6"/>
      <c r="G933" s="12" t="str">
        <f>IF(D933="","",IFERROR(INDEX('Master Produk'!$C$2:$C$101,MATCH(D933,'Master Produk'!$A$2:$A$101,0)),0)+SUMIFS(F$1:F932,D$1:D932,D933))</f>
        <v/>
      </c>
      <c r="H933" s="12" t="str">
        <f t="shared" si="29"/>
        <v/>
      </c>
      <c r="I933" s="5"/>
      <c r="J933" s="5"/>
      <c r="K933" s="11" t="str">
        <f>IF(D933="","",IF(ISNA(MATCH(D933,'Master Produk'!$A$2:$A$101,0)),"SKU tidak ada di master",IF(AND(C933="Stok masuk",F933&lt;0),"Stok masuk harus +",IF(AND(C933="Stok keluar",F933&gt;0),"Stok keluar harus -",IF(H933&lt;0,"Stok negatif","OK")))))</f>
        <v/>
      </c>
    </row>
    <row r="934" spans="1:11" x14ac:dyDescent="0.3">
      <c r="A934" s="9" t="str">
        <f t="shared" si="28"/>
        <v/>
      </c>
      <c r="B934" s="10"/>
      <c r="C934" s="5"/>
      <c r="D934" s="5"/>
      <c r="E934" s="11" t="str">
        <f>IF(D934="","",IFERROR(INDEX('Master Produk'!$B$2:$B$101,MATCH(D934,'Master Produk'!$A$2:$A$101,0)),"SKU tidak ada di master"))</f>
        <v/>
      </c>
      <c r="F934" s="6"/>
      <c r="G934" s="12" t="str">
        <f>IF(D934="","",IFERROR(INDEX('Master Produk'!$C$2:$C$101,MATCH(D934,'Master Produk'!$A$2:$A$101,0)),0)+SUMIFS(F$1:F933,D$1:D933,D934))</f>
        <v/>
      </c>
      <c r="H934" s="12" t="str">
        <f t="shared" si="29"/>
        <v/>
      </c>
      <c r="I934" s="5"/>
      <c r="J934" s="5"/>
      <c r="K934" s="11" t="str">
        <f>IF(D934="","",IF(ISNA(MATCH(D934,'Master Produk'!$A$2:$A$101,0)),"SKU tidak ada di master",IF(AND(C934="Stok masuk",F934&lt;0),"Stok masuk harus +",IF(AND(C934="Stok keluar",F934&gt;0),"Stok keluar harus -",IF(H934&lt;0,"Stok negatif","OK")))))</f>
        <v/>
      </c>
    </row>
    <row r="935" spans="1:11" x14ac:dyDescent="0.3">
      <c r="A935" s="9" t="str">
        <f t="shared" si="28"/>
        <v/>
      </c>
      <c r="B935" s="10"/>
      <c r="C935" s="5"/>
      <c r="D935" s="5"/>
      <c r="E935" s="11" t="str">
        <f>IF(D935="","",IFERROR(INDEX('Master Produk'!$B$2:$B$101,MATCH(D935,'Master Produk'!$A$2:$A$101,0)),"SKU tidak ada di master"))</f>
        <v/>
      </c>
      <c r="F935" s="6"/>
      <c r="G935" s="12" t="str">
        <f>IF(D935="","",IFERROR(INDEX('Master Produk'!$C$2:$C$101,MATCH(D935,'Master Produk'!$A$2:$A$101,0)),0)+SUMIFS(F$1:F934,D$1:D934,D935))</f>
        <v/>
      </c>
      <c r="H935" s="12" t="str">
        <f t="shared" si="29"/>
        <v/>
      </c>
      <c r="I935" s="5"/>
      <c r="J935" s="5"/>
      <c r="K935" s="11" t="str">
        <f>IF(D935="","",IF(ISNA(MATCH(D935,'Master Produk'!$A$2:$A$101,0)),"SKU tidak ada di master",IF(AND(C935="Stok masuk",F935&lt;0),"Stok masuk harus +",IF(AND(C935="Stok keluar",F935&gt;0),"Stok keluar harus -",IF(H935&lt;0,"Stok negatif","OK")))))</f>
        <v/>
      </c>
    </row>
    <row r="936" spans="1:11" x14ac:dyDescent="0.3">
      <c r="A936" s="9" t="str">
        <f t="shared" si="28"/>
        <v/>
      </c>
      <c r="B936" s="10"/>
      <c r="C936" s="5"/>
      <c r="D936" s="5"/>
      <c r="E936" s="11" t="str">
        <f>IF(D936="","",IFERROR(INDEX('Master Produk'!$B$2:$B$101,MATCH(D936,'Master Produk'!$A$2:$A$101,0)),"SKU tidak ada di master"))</f>
        <v/>
      </c>
      <c r="F936" s="6"/>
      <c r="G936" s="12" t="str">
        <f>IF(D936="","",IFERROR(INDEX('Master Produk'!$C$2:$C$101,MATCH(D936,'Master Produk'!$A$2:$A$101,0)),0)+SUMIFS(F$1:F935,D$1:D935,D936))</f>
        <v/>
      </c>
      <c r="H936" s="12" t="str">
        <f t="shared" si="29"/>
        <v/>
      </c>
      <c r="I936" s="5"/>
      <c r="J936" s="5"/>
      <c r="K936" s="11" t="str">
        <f>IF(D936="","",IF(ISNA(MATCH(D936,'Master Produk'!$A$2:$A$101,0)),"SKU tidak ada di master",IF(AND(C936="Stok masuk",F936&lt;0),"Stok masuk harus +",IF(AND(C936="Stok keluar",F936&gt;0),"Stok keluar harus -",IF(H936&lt;0,"Stok negatif","OK")))))</f>
        <v/>
      </c>
    </row>
    <row r="937" spans="1:11" x14ac:dyDescent="0.3">
      <c r="A937" s="9" t="str">
        <f t="shared" si="28"/>
        <v/>
      </c>
      <c r="B937" s="10"/>
      <c r="C937" s="5"/>
      <c r="D937" s="5"/>
      <c r="E937" s="11" t="str">
        <f>IF(D937="","",IFERROR(INDEX('Master Produk'!$B$2:$B$101,MATCH(D937,'Master Produk'!$A$2:$A$101,0)),"SKU tidak ada di master"))</f>
        <v/>
      </c>
      <c r="F937" s="6"/>
      <c r="G937" s="12" t="str">
        <f>IF(D937="","",IFERROR(INDEX('Master Produk'!$C$2:$C$101,MATCH(D937,'Master Produk'!$A$2:$A$101,0)),0)+SUMIFS(F$1:F936,D$1:D936,D937))</f>
        <v/>
      </c>
      <c r="H937" s="12" t="str">
        <f t="shared" si="29"/>
        <v/>
      </c>
      <c r="I937" s="5"/>
      <c r="J937" s="5"/>
      <c r="K937" s="11" t="str">
        <f>IF(D937="","",IF(ISNA(MATCH(D937,'Master Produk'!$A$2:$A$101,0)),"SKU tidak ada di master",IF(AND(C937="Stok masuk",F937&lt;0),"Stok masuk harus +",IF(AND(C937="Stok keluar",F937&gt;0),"Stok keluar harus -",IF(H937&lt;0,"Stok negatif","OK")))))</f>
        <v/>
      </c>
    </row>
    <row r="938" spans="1:11" x14ac:dyDescent="0.3">
      <c r="A938" s="9" t="str">
        <f t="shared" si="28"/>
        <v/>
      </c>
      <c r="B938" s="10"/>
      <c r="C938" s="5"/>
      <c r="D938" s="5"/>
      <c r="E938" s="11" t="str">
        <f>IF(D938="","",IFERROR(INDEX('Master Produk'!$B$2:$B$101,MATCH(D938,'Master Produk'!$A$2:$A$101,0)),"SKU tidak ada di master"))</f>
        <v/>
      </c>
      <c r="F938" s="6"/>
      <c r="G938" s="12" t="str">
        <f>IF(D938="","",IFERROR(INDEX('Master Produk'!$C$2:$C$101,MATCH(D938,'Master Produk'!$A$2:$A$101,0)),0)+SUMIFS(F$1:F937,D$1:D937,D938))</f>
        <v/>
      </c>
      <c r="H938" s="12" t="str">
        <f t="shared" si="29"/>
        <v/>
      </c>
      <c r="I938" s="5"/>
      <c r="J938" s="5"/>
      <c r="K938" s="11" t="str">
        <f>IF(D938="","",IF(ISNA(MATCH(D938,'Master Produk'!$A$2:$A$101,0)),"SKU tidak ada di master",IF(AND(C938="Stok masuk",F938&lt;0),"Stok masuk harus +",IF(AND(C938="Stok keluar",F938&gt;0),"Stok keluar harus -",IF(H938&lt;0,"Stok negatif","OK")))))</f>
        <v/>
      </c>
    </row>
    <row r="939" spans="1:11" x14ac:dyDescent="0.3">
      <c r="A939" s="9" t="str">
        <f t="shared" si="28"/>
        <v/>
      </c>
      <c r="B939" s="10"/>
      <c r="C939" s="5"/>
      <c r="D939" s="5"/>
      <c r="E939" s="11" t="str">
        <f>IF(D939="","",IFERROR(INDEX('Master Produk'!$B$2:$B$101,MATCH(D939,'Master Produk'!$A$2:$A$101,0)),"SKU tidak ada di master"))</f>
        <v/>
      </c>
      <c r="F939" s="6"/>
      <c r="G939" s="12" t="str">
        <f>IF(D939="","",IFERROR(INDEX('Master Produk'!$C$2:$C$101,MATCH(D939,'Master Produk'!$A$2:$A$101,0)),0)+SUMIFS(F$1:F938,D$1:D938,D939))</f>
        <v/>
      </c>
      <c r="H939" s="12" t="str">
        <f t="shared" si="29"/>
        <v/>
      </c>
      <c r="I939" s="5"/>
      <c r="J939" s="5"/>
      <c r="K939" s="11" t="str">
        <f>IF(D939="","",IF(ISNA(MATCH(D939,'Master Produk'!$A$2:$A$101,0)),"SKU tidak ada di master",IF(AND(C939="Stok masuk",F939&lt;0),"Stok masuk harus +",IF(AND(C939="Stok keluar",F939&gt;0),"Stok keluar harus -",IF(H939&lt;0,"Stok negatif","OK")))))</f>
        <v/>
      </c>
    </row>
    <row r="940" spans="1:11" x14ac:dyDescent="0.3">
      <c r="A940" s="9" t="str">
        <f t="shared" si="28"/>
        <v/>
      </c>
      <c r="B940" s="10"/>
      <c r="C940" s="5"/>
      <c r="D940" s="5"/>
      <c r="E940" s="11" t="str">
        <f>IF(D940="","",IFERROR(INDEX('Master Produk'!$B$2:$B$101,MATCH(D940,'Master Produk'!$A$2:$A$101,0)),"SKU tidak ada di master"))</f>
        <v/>
      </c>
      <c r="F940" s="6"/>
      <c r="G940" s="12" t="str">
        <f>IF(D940="","",IFERROR(INDEX('Master Produk'!$C$2:$C$101,MATCH(D940,'Master Produk'!$A$2:$A$101,0)),0)+SUMIFS(F$1:F939,D$1:D939,D940))</f>
        <v/>
      </c>
      <c r="H940" s="12" t="str">
        <f t="shared" si="29"/>
        <v/>
      </c>
      <c r="I940" s="5"/>
      <c r="J940" s="5"/>
      <c r="K940" s="11" t="str">
        <f>IF(D940="","",IF(ISNA(MATCH(D940,'Master Produk'!$A$2:$A$101,0)),"SKU tidak ada di master",IF(AND(C940="Stok masuk",F940&lt;0),"Stok masuk harus +",IF(AND(C940="Stok keluar",F940&gt;0),"Stok keluar harus -",IF(H940&lt;0,"Stok negatif","OK")))))</f>
        <v/>
      </c>
    </row>
    <row r="941" spans="1:11" x14ac:dyDescent="0.3">
      <c r="A941" s="9" t="str">
        <f t="shared" si="28"/>
        <v/>
      </c>
      <c r="B941" s="10"/>
      <c r="C941" s="5"/>
      <c r="D941" s="5"/>
      <c r="E941" s="11" t="str">
        <f>IF(D941="","",IFERROR(INDEX('Master Produk'!$B$2:$B$101,MATCH(D941,'Master Produk'!$A$2:$A$101,0)),"SKU tidak ada di master"))</f>
        <v/>
      </c>
      <c r="F941" s="6"/>
      <c r="G941" s="12" t="str">
        <f>IF(D941="","",IFERROR(INDEX('Master Produk'!$C$2:$C$101,MATCH(D941,'Master Produk'!$A$2:$A$101,0)),0)+SUMIFS(F$1:F940,D$1:D940,D941))</f>
        <v/>
      </c>
      <c r="H941" s="12" t="str">
        <f t="shared" si="29"/>
        <v/>
      </c>
      <c r="I941" s="5"/>
      <c r="J941" s="5"/>
      <c r="K941" s="11" t="str">
        <f>IF(D941="","",IF(ISNA(MATCH(D941,'Master Produk'!$A$2:$A$101,0)),"SKU tidak ada di master",IF(AND(C941="Stok masuk",F941&lt;0),"Stok masuk harus +",IF(AND(C941="Stok keluar",F941&gt;0),"Stok keluar harus -",IF(H941&lt;0,"Stok negatif","OK")))))</f>
        <v/>
      </c>
    </row>
    <row r="942" spans="1:11" x14ac:dyDescent="0.3">
      <c r="A942" s="9" t="str">
        <f t="shared" si="28"/>
        <v/>
      </c>
      <c r="B942" s="10"/>
      <c r="C942" s="5"/>
      <c r="D942" s="5"/>
      <c r="E942" s="11" t="str">
        <f>IF(D942="","",IFERROR(INDEX('Master Produk'!$B$2:$B$101,MATCH(D942,'Master Produk'!$A$2:$A$101,0)),"SKU tidak ada di master"))</f>
        <v/>
      </c>
      <c r="F942" s="6"/>
      <c r="G942" s="12" t="str">
        <f>IF(D942="","",IFERROR(INDEX('Master Produk'!$C$2:$C$101,MATCH(D942,'Master Produk'!$A$2:$A$101,0)),0)+SUMIFS(F$1:F941,D$1:D941,D942))</f>
        <v/>
      </c>
      <c r="H942" s="12" t="str">
        <f t="shared" si="29"/>
        <v/>
      </c>
      <c r="I942" s="5"/>
      <c r="J942" s="5"/>
      <c r="K942" s="11" t="str">
        <f>IF(D942="","",IF(ISNA(MATCH(D942,'Master Produk'!$A$2:$A$101,0)),"SKU tidak ada di master",IF(AND(C942="Stok masuk",F942&lt;0),"Stok masuk harus +",IF(AND(C942="Stok keluar",F942&gt;0),"Stok keluar harus -",IF(H942&lt;0,"Stok negatif","OK")))))</f>
        <v/>
      </c>
    </row>
    <row r="943" spans="1:11" x14ac:dyDescent="0.3">
      <c r="A943" s="9" t="str">
        <f t="shared" si="28"/>
        <v/>
      </c>
      <c r="B943" s="10"/>
      <c r="C943" s="5"/>
      <c r="D943" s="5"/>
      <c r="E943" s="11" t="str">
        <f>IF(D943="","",IFERROR(INDEX('Master Produk'!$B$2:$B$101,MATCH(D943,'Master Produk'!$A$2:$A$101,0)),"SKU tidak ada di master"))</f>
        <v/>
      </c>
      <c r="F943" s="6"/>
      <c r="G943" s="12" t="str">
        <f>IF(D943="","",IFERROR(INDEX('Master Produk'!$C$2:$C$101,MATCH(D943,'Master Produk'!$A$2:$A$101,0)),0)+SUMIFS(F$1:F942,D$1:D942,D943))</f>
        <v/>
      </c>
      <c r="H943" s="12" t="str">
        <f t="shared" si="29"/>
        <v/>
      </c>
      <c r="I943" s="5"/>
      <c r="J943" s="5"/>
      <c r="K943" s="11" t="str">
        <f>IF(D943="","",IF(ISNA(MATCH(D943,'Master Produk'!$A$2:$A$101,0)),"SKU tidak ada di master",IF(AND(C943="Stok masuk",F943&lt;0),"Stok masuk harus +",IF(AND(C943="Stok keluar",F943&gt;0),"Stok keluar harus -",IF(H943&lt;0,"Stok negatif","OK")))))</f>
        <v/>
      </c>
    </row>
    <row r="944" spans="1:11" x14ac:dyDescent="0.3">
      <c r="A944" s="9" t="str">
        <f t="shared" si="28"/>
        <v/>
      </c>
      <c r="B944" s="10"/>
      <c r="C944" s="5"/>
      <c r="D944" s="5"/>
      <c r="E944" s="11" t="str">
        <f>IF(D944="","",IFERROR(INDEX('Master Produk'!$B$2:$B$101,MATCH(D944,'Master Produk'!$A$2:$A$101,0)),"SKU tidak ada di master"))</f>
        <v/>
      </c>
      <c r="F944" s="6"/>
      <c r="G944" s="12" t="str">
        <f>IF(D944="","",IFERROR(INDEX('Master Produk'!$C$2:$C$101,MATCH(D944,'Master Produk'!$A$2:$A$101,0)),0)+SUMIFS(F$1:F943,D$1:D943,D944))</f>
        <v/>
      </c>
      <c r="H944" s="12" t="str">
        <f t="shared" si="29"/>
        <v/>
      </c>
      <c r="I944" s="5"/>
      <c r="J944" s="5"/>
      <c r="K944" s="11" t="str">
        <f>IF(D944="","",IF(ISNA(MATCH(D944,'Master Produk'!$A$2:$A$101,0)),"SKU tidak ada di master",IF(AND(C944="Stok masuk",F944&lt;0),"Stok masuk harus +",IF(AND(C944="Stok keluar",F944&gt;0),"Stok keluar harus -",IF(H944&lt;0,"Stok negatif","OK")))))</f>
        <v/>
      </c>
    </row>
    <row r="945" spans="1:11" x14ac:dyDescent="0.3">
      <c r="A945" s="9" t="str">
        <f t="shared" si="28"/>
        <v/>
      </c>
      <c r="B945" s="10"/>
      <c r="C945" s="5"/>
      <c r="D945" s="5"/>
      <c r="E945" s="11" t="str">
        <f>IF(D945="","",IFERROR(INDEX('Master Produk'!$B$2:$B$101,MATCH(D945,'Master Produk'!$A$2:$A$101,0)),"SKU tidak ada di master"))</f>
        <v/>
      </c>
      <c r="F945" s="6"/>
      <c r="G945" s="12" t="str">
        <f>IF(D945="","",IFERROR(INDEX('Master Produk'!$C$2:$C$101,MATCH(D945,'Master Produk'!$A$2:$A$101,0)),0)+SUMIFS(F$1:F944,D$1:D944,D945))</f>
        <v/>
      </c>
      <c r="H945" s="12" t="str">
        <f t="shared" si="29"/>
        <v/>
      </c>
      <c r="I945" s="5"/>
      <c r="J945" s="5"/>
      <c r="K945" s="11" t="str">
        <f>IF(D945="","",IF(ISNA(MATCH(D945,'Master Produk'!$A$2:$A$101,0)),"SKU tidak ada di master",IF(AND(C945="Stok masuk",F945&lt;0),"Stok masuk harus +",IF(AND(C945="Stok keluar",F945&gt;0),"Stok keluar harus -",IF(H945&lt;0,"Stok negatif","OK")))))</f>
        <v/>
      </c>
    </row>
    <row r="946" spans="1:11" x14ac:dyDescent="0.3">
      <c r="A946" s="9" t="str">
        <f t="shared" si="28"/>
        <v/>
      </c>
      <c r="B946" s="10"/>
      <c r="C946" s="5"/>
      <c r="D946" s="5"/>
      <c r="E946" s="11" t="str">
        <f>IF(D946="","",IFERROR(INDEX('Master Produk'!$B$2:$B$101,MATCH(D946,'Master Produk'!$A$2:$A$101,0)),"SKU tidak ada di master"))</f>
        <v/>
      </c>
      <c r="F946" s="6"/>
      <c r="G946" s="12" t="str">
        <f>IF(D946="","",IFERROR(INDEX('Master Produk'!$C$2:$C$101,MATCH(D946,'Master Produk'!$A$2:$A$101,0)),0)+SUMIFS(F$1:F945,D$1:D945,D946))</f>
        <v/>
      </c>
      <c r="H946" s="12" t="str">
        <f t="shared" si="29"/>
        <v/>
      </c>
      <c r="I946" s="5"/>
      <c r="J946" s="5"/>
      <c r="K946" s="11" t="str">
        <f>IF(D946="","",IF(ISNA(MATCH(D946,'Master Produk'!$A$2:$A$101,0)),"SKU tidak ada di master",IF(AND(C946="Stok masuk",F946&lt;0),"Stok masuk harus +",IF(AND(C946="Stok keluar",F946&gt;0),"Stok keluar harus -",IF(H946&lt;0,"Stok negatif","OK")))))</f>
        <v/>
      </c>
    </row>
    <row r="947" spans="1:11" x14ac:dyDescent="0.3">
      <c r="A947" s="9" t="str">
        <f t="shared" si="28"/>
        <v/>
      </c>
      <c r="B947" s="10"/>
      <c r="C947" s="5"/>
      <c r="D947" s="5"/>
      <c r="E947" s="11" t="str">
        <f>IF(D947="","",IFERROR(INDEX('Master Produk'!$B$2:$B$101,MATCH(D947,'Master Produk'!$A$2:$A$101,0)),"SKU tidak ada di master"))</f>
        <v/>
      </c>
      <c r="F947" s="6"/>
      <c r="G947" s="12" t="str">
        <f>IF(D947="","",IFERROR(INDEX('Master Produk'!$C$2:$C$101,MATCH(D947,'Master Produk'!$A$2:$A$101,0)),0)+SUMIFS(F$1:F946,D$1:D946,D947))</f>
        <v/>
      </c>
      <c r="H947" s="12" t="str">
        <f t="shared" si="29"/>
        <v/>
      </c>
      <c r="I947" s="5"/>
      <c r="J947" s="5"/>
      <c r="K947" s="11" t="str">
        <f>IF(D947="","",IF(ISNA(MATCH(D947,'Master Produk'!$A$2:$A$101,0)),"SKU tidak ada di master",IF(AND(C947="Stok masuk",F947&lt;0),"Stok masuk harus +",IF(AND(C947="Stok keluar",F947&gt;0),"Stok keluar harus -",IF(H947&lt;0,"Stok negatif","OK")))))</f>
        <v/>
      </c>
    </row>
    <row r="948" spans="1:11" x14ac:dyDescent="0.3">
      <c r="A948" s="9" t="str">
        <f t="shared" si="28"/>
        <v/>
      </c>
      <c r="B948" s="10"/>
      <c r="C948" s="5"/>
      <c r="D948" s="5"/>
      <c r="E948" s="11" t="str">
        <f>IF(D948="","",IFERROR(INDEX('Master Produk'!$B$2:$B$101,MATCH(D948,'Master Produk'!$A$2:$A$101,0)),"SKU tidak ada di master"))</f>
        <v/>
      </c>
      <c r="F948" s="6"/>
      <c r="G948" s="12" t="str">
        <f>IF(D948="","",IFERROR(INDEX('Master Produk'!$C$2:$C$101,MATCH(D948,'Master Produk'!$A$2:$A$101,0)),0)+SUMIFS(F$1:F947,D$1:D947,D948))</f>
        <v/>
      </c>
      <c r="H948" s="12" t="str">
        <f t="shared" si="29"/>
        <v/>
      </c>
      <c r="I948" s="5"/>
      <c r="J948" s="5"/>
      <c r="K948" s="11" t="str">
        <f>IF(D948="","",IF(ISNA(MATCH(D948,'Master Produk'!$A$2:$A$101,0)),"SKU tidak ada di master",IF(AND(C948="Stok masuk",F948&lt;0),"Stok masuk harus +",IF(AND(C948="Stok keluar",F948&gt;0),"Stok keluar harus -",IF(H948&lt;0,"Stok negatif","OK")))))</f>
        <v/>
      </c>
    </row>
    <row r="949" spans="1:11" x14ac:dyDescent="0.3">
      <c r="A949" s="9" t="str">
        <f t="shared" si="28"/>
        <v/>
      </c>
      <c r="B949" s="10"/>
      <c r="C949" s="5"/>
      <c r="D949" s="5"/>
      <c r="E949" s="11" t="str">
        <f>IF(D949="","",IFERROR(INDEX('Master Produk'!$B$2:$B$101,MATCH(D949,'Master Produk'!$A$2:$A$101,0)),"SKU tidak ada di master"))</f>
        <v/>
      </c>
      <c r="F949" s="6"/>
      <c r="G949" s="12" t="str">
        <f>IF(D949="","",IFERROR(INDEX('Master Produk'!$C$2:$C$101,MATCH(D949,'Master Produk'!$A$2:$A$101,0)),0)+SUMIFS(F$1:F948,D$1:D948,D949))</f>
        <v/>
      </c>
      <c r="H949" s="12" t="str">
        <f t="shared" si="29"/>
        <v/>
      </c>
      <c r="I949" s="5"/>
      <c r="J949" s="5"/>
      <c r="K949" s="11" t="str">
        <f>IF(D949="","",IF(ISNA(MATCH(D949,'Master Produk'!$A$2:$A$101,0)),"SKU tidak ada di master",IF(AND(C949="Stok masuk",F949&lt;0),"Stok masuk harus +",IF(AND(C949="Stok keluar",F949&gt;0),"Stok keluar harus -",IF(H949&lt;0,"Stok negatif","OK")))))</f>
        <v/>
      </c>
    </row>
    <row r="950" spans="1:11" x14ac:dyDescent="0.3">
      <c r="A950" s="9" t="str">
        <f t="shared" si="28"/>
        <v/>
      </c>
      <c r="B950" s="10"/>
      <c r="C950" s="5"/>
      <c r="D950" s="5"/>
      <c r="E950" s="11" t="str">
        <f>IF(D950="","",IFERROR(INDEX('Master Produk'!$B$2:$B$101,MATCH(D950,'Master Produk'!$A$2:$A$101,0)),"SKU tidak ada di master"))</f>
        <v/>
      </c>
      <c r="F950" s="6"/>
      <c r="G950" s="12" t="str">
        <f>IF(D950="","",IFERROR(INDEX('Master Produk'!$C$2:$C$101,MATCH(D950,'Master Produk'!$A$2:$A$101,0)),0)+SUMIFS(F$1:F949,D$1:D949,D950))</f>
        <v/>
      </c>
      <c r="H950" s="12" t="str">
        <f t="shared" si="29"/>
        <v/>
      </c>
      <c r="I950" s="5"/>
      <c r="J950" s="5"/>
      <c r="K950" s="11" t="str">
        <f>IF(D950="","",IF(ISNA(MATCH(D950,'Master Produk'!$A$2:$A$101,0)),"SKU tidak ada di master",IF(AND(C950="Stok masuk",F950&lt;0),"Stok masuk harus +",IF(AND(C950="Stok keluar",F950&gt;0),"Stok keluar harus -",IF(H950&lt;0,"Stok negatif","OK")))))</f>
        <v/>
      </c>
    </row>
    <row r="951" spans="1:11" x14ac:dyDescent="0.3">
      <c r="A951" s="9" t="str">
        <f t="shared" si="28"/>
        <v/>
      </c>
      <c r="B951" s="10"/>
      <c r="C951" s="5"/>
      <c r="D951" s="5"/>
      <c r="E951" s="11" t="str">
        <f>IF(D951="","",IFERROR(INDEX('Master Produk'!$B$2:$B$101,MATCH(D951,'Master Produk'!$A$2:$A$101,0)),"SKU tidak ada di master"))</f>
        <v/>
      </c>
      <c r="F951" s="6"/>
      <c r="G951" s="12" t="str">
        <f>IF(D951="","",IFERROR(INDEX('Master Produk'!$C$2:$C$101,MATCH(D951,'Master Produk'!$A$2:$A$101,0)),0)+SUMIFS(F$1:F950,D$1:D950,D951))</f>
        <v/>
      </c>
      <c r="H951" s="12" t="str">
        <f t="shared" si="29"/>
        <v/>
      </c>
      <c r="I951" s="5"/>
      <c r="J951" s="5"/>
      <c r="K951" s="11" t="str">
        <f>IF(D951="","",IF(ISNA(MATCH(D951,'Master Produk'!$A$2:$A$101,0)),"SKU tidak ada di master",IF(AND(C951="Stok masuk",F951&lt;0),"Stok masuk harus +",IF(AND(C951="Stok keluar",F951&gt;0),"Stok keluar harus -",IF(H951&lt;0,"Stok negatif","OK")))))</f>
        <v/>
      </c>
    </row>
    <row r="952" spans="1:11" x14ac:dyDescent="0.3">
      <c r="A952" s="9" t="str">
        <f t="shared" si="28"/>
        <v/>
      </c>
      <c r="B952" s="10"/>
      <c r="C952" s="5"/>
      <c r="D952" s="5"/>
      <c r="E952" s="11" t="str">
        <f>IF(D952="","",IFERROR(INDEX('Master Produk'!$B$2:$B$101,MATCH(D952,'Master Produk'!$A$2:$A$101,0)),"SKU tidak ada di master"))</f>
        <v/>
      </c>
      <c r="F952" s="6"/>
      <c r="G952" s="12" t="str">
        <f>IF(D952="","",IFERROR(INDEX('Master Produk'!$C$2:$C$101,MATCH(D952,'Master Produk'!$A$2:$A$101,0)),0)+SUMIFS(F$1:F951,D$1:D951,D952))</f>
        <v/>
      </c>
      <c r="H952" s="12" t="str">
        <f t="shared" si="29"/>
        <v/>
      </c>
      <c r="I952" s="5"/>
      <c r="J952" s="5"/>
      <c r="K952" s="11" t="str">
        <f>IF(D952="","",IF(ISNA(MATCH(D952,'Master Produk'!$A$2:$A$101,0)),"SKU tidak ada di master",IF(AND(C952="Stok masuk",F952&lt;0),"Stok masuk harus +",IF(AND(C952="Stok keluar",F952&gt;0),"Stok keluar harus -",IF(H952&lt;0,"Stok negatif","OK")))))</f>
        <v/>
      </c>
    </row>
    <row r="953" spans="1:11" x14ac:dyDescent="0.3">
      <c r="A953" s="9" t="str">
        <f t="shared" si="28"/>
        <v/>
      </c>
      <c r="B953" s="10"/>
      <c r="C953" s="5"/>
      <c r="D953" s="5"/>
      <c r="E953" s="11" t="str">
        <f>IF(D953="","",IFERROR(INDEX('Master Produk'!$B$2:$B$101,MATCH(D953,'Master Produk'!$A$2:$A$101,0)),"SKU tidak ada di master"))</f>
        <v/>
      </c>
      <c r="F953" s="6"/>
      <c r="G953" s="12" t="str">
        <f>IF(D953="","",IFERROR(INDEX('Master Produk'!$C$2:$C$101,MATCH(D953,'Master Produk'!$A$2:$A$101,0)),0)+SUMIFS(F$1:F952,D$1:D952,D953))</f>
        <v/>
      </c>
      <c r="H953" s="12" t="str">
        <f t="shared" si="29"/>
        <v/>
      </c>
      <c r="I953" s="5"/>
      <c r="J953" s="5"/>
      <c r="K953" s="11" t="str">
        <f>IF(D953="","",IF(ISNA(MATCH(D953,'Master Produk'!$A$2:$A$101,0)),"SKU tidak ada di master",IF(AND(C953="Stok masuk",F953&lt;0),"Stok masuk harus +",IF(AND(C953="Stok keluar",F953&gt;0),"Stok keluar harus -",IF(H953&lt;0,"Stok negatif","OK")))))</f>
        <v/>
      </c>
    </row>
    <row r="954" spans="1:11" x14ac:dyDescent="0.3">
      <c r="A954" s="9" t="str">
        <f t="shared" si="28"/>
        <v/>
      </c>
      <c r="B954" s="10"/>
      <c r="C954" s="5"/>
      <c r="D954" s="5"/>
      <c r="E954" s="11" t="str">
        <f>IF(D954="","",IFERROR(INDEX('Master Produk'!$B$2:$B$101,MATCH(D954,'Master Produk'!$A$2:$A$101,0)),"SKU tidak ada di master"))</f>
        <v/>
      </c>
      <c r="F954" s="6"/>
      <c r="G954" s="12" t="str">
        <f>IF(D954="","",IFERROR(INDEX('Master Produk'!$C$2:$C$101,MATCH(D954,'Master Produk'!$A$2:$A$101,0)),0)+SUMIFS(F$1:F953,D$1:D953,D954))</f>
        <v/>
      </c>
      <c r="H954" s="12" t="str">
        <f t="shared" si="29"/>
        <v/>
      </c>
      <c r="I954" s="5"/>
      <c r="J954" s="5"/>
      <c r="K954" s="11" t="str">
        <f>IF(D954="","",IF(ISNA(MATCH(D954,'Master Produk'!$A$2:$A$101,0)),"SKU tidak ada di master",IF(AND(C954="Stok masuk",F954&lt;0),"Stok masuk harus +",IF(AND(C954="Stok keluar",F954&gt;0),"Stok keluar harus -",IF(H954&lt;0,"Stok negatif","OK")))))</f>
        <v/>
      </c>
    </row>
    <row r="955" spans="1:11" x14ac:dyDescent="0.3">
      <c r="A955" s="9" t="str">
        <f t="shared" si="28"/>
        <v/>
      </c>
      <c r="B955" s="10"/>
      <c r="C955" s="5"/>
      <c r="D955" s="5"/>
      <c r="E955" s="11" t="str">
        <f>IF(D955="","",IFERROR(INDEX('Master Produk'!$B$2:$B$101,MATCH(D955,'Master Produk'!$A$2:$A$101,0)),"SKU tidak ada di master"))</f>
        <v/>
      </c>
      <c r="F955" s="6"/>
      <c r="G955" s="12" t="str">
        <f>IF(D955="","",IFERROR(INDEX('Master Produk'!$C$2:$C$101,MATCH(D955,'Master Produk'!$A$2:$A$101,0)),0)+SUMIFS(F$1:F954,D$1:D954,D955))</f>
        <v/>
      </c>
      <c r="H955" s="12" t="str">
        <f t="shared" si="29"/>
        <v/>
      </c>
      <c r="I955" s="5"/>
      <c r="J955" s="5"/>
      <c r="K955" s="11" t="str">
        <f>IF(D955="","",IF(ISNA(MATCH(D955,'Master Produk'!$A$2:$A$101,0)),"SKU tidak ada di master",IF(AND(C955="Stok masuk",F955&lt;0),"Stok masuk harus +",IF(AND(C955="Stok keluar",F955&gt;0),"Stok keluar harus -",IF(H955&lt;0,"Stok negatif","OK")))))</f>
        <v/>
      </c>
    </row>
    <row r="956" spans="1:11" x14ac:dyDescent="0.3">
      <c r="A956" s="9" t="str">
        <f t="shared" si="28"/>
        <v/>
      </c>
      <c r="B956" s="10"/>
      <c r="C956" s="5"/>
      <c r="D956" s="5"/>
      <c r="E956" s="11" t="str">
        <f>IF(D956="","",IFERROR(INDEX('Master Produk'!$B$2:$B$101,MATCH(D956,'Master Produk'!$A$2:$A$101,0)),"SKU tidak ada di master"))</f>
        <v/>
      </c>
      <c r="F956" s="6"/>
      <c r="G956" s="12" t="str">
        <f>IF(D956="","",IFERROR(INDEX('Master Produk'!$C$2:$C$101,MATCH(D956,'Master Produk'!$A$2:$A$101,0)),0)+SUMIFS(F$1:F955,D$1:D955,D956))</f>
        <v/>
      </c>
      <c r="H956" s="12" t="str">
        <f t="shared" si="29"/>
        <v/>
      </c>
      <c r="I956" s="5"/>
      <c r="J956" s="5"/>
      <c r="K956" s="11" t="str">
        <f>IF(D956="","",IF(ISNA(MATCH(D956,'Master Produk'!$A$2:$A$101,0)),"SKU tidak ada di master",IF(AND(C956="Stok masuk",F956&lt;0),"Stok masuk harus +",IF(AND(C956="Stok keluar",F956&gt;0),"Stok keluar harus -",IF(H956&lt;0,"Stok negatif","OK")))))</f>
        <v/>
      </c>
    </row>
    <row r="957" spans="1:11" x14ac:dyDescent="0.3">
      <c r="A957" s="9" t="str">
        <f t="shared" si="28"/>
        <v/>
      </c>
      <c r="B957" s="10"/>
      <c r="C957" s="5"/>
      <c r="D957" s="5"/>
      <c r="E957" s="11" t="str">
        <f>IF(D957="","",IFERROR(INDEX('Master Produk'!$B$2:$B$101,MATCH(D957,'Master Produk'!$A$2:$A$101,0)),"SKU tidak ada di master"))</f>
        <v/>
      </c>
      <c r="F957" s="6"/>
      <c r="G957" s="12" t="str">
        <f>IF(D957="","",IFERROR(INDEX('Master Produk'!$C$2:$C$101,MATCH(D957,'Master Produk'!$A$2:$A$101,0)),0)+SUMIFS(F$1:F956,D$1:D956,D957))</f>
        <v/>
      </c>
      <c r="H957" s="12" t="str">
        <f t="shared" si="29"/>
        <v/>
      </c>
      <c r="I957" s="5"/>
      <c r="J957" s="5"/>
      <c r="K957" s="11" t="str">
        <f>IF(D957="","",IF(ISNA(MATCH(D957,'Master Produk'!$A$2:$A$101,0)),"SKU tidak ada di master",IF(AND(C957="Stok masuk",F957&lt;0),"Stok masuk harus +",IF(AND(C957="Stok keluar",F957&gt;0),"Stok keluar harus -",IF(H957&lt;0,"Stok negatif","OK")))))</f>
        <v/>
      </c>
    </row>
    <row r="958" spans="1:11" x14ac:dyDescent="0.3">
      <c r="A958" s="9" t="str">
        <f t="shared" si="28"/>
        <v/>
      </c>
      <c r="B958" s="10"/>
      <c r="C958" s="5"/>
      <c r="D958" s="5"/>
      <c r="E958" s="11" t="str">
        <f>IF(D958="","",IFERROR(INDEX('Master Produk'!$B$2:$B$101,MATCH(D958,'Master Produk'!$A$2:$A$101,0)),"SKU tidak ada di master"))</f>
        <v/>
      </c>
      <c r="F958" s="6"/>
      <c r="G958" s="12" t="str">
        <f>IF(D958="","",IFERROR(INDEX('Master Produk'!$C$2:$C$101,MATCH(D958,'Master Produk'!$A$2:$A$101,0)),0)+SUMIFS(F$1:F957,D$1:D957,D958))</f>
        <v/>
      </c>
      <c r="H958" s="12" t="str">
        <f t="shared" si="29"/>
        <v/>
      </c>
      <c r="I958" s="5"/>
      <c r="J958" s="5"/>
      <c r="K958" s="11" t="str">
        <f>IF(D958="","",IF(ISNA(MATCH(D958,'Master Produk'!$A$2:$A$101,0)),"SKU tidak ada di master",IF(AND(C958="Stok masuk",F958&lt;0),"Stok masuk harus +",IF(AND(C958="Stok keluar",F958&gt;0),"Stok keluar harus -",IF(H958&lt;0,"Stok negatif","OK")))))</f>
        <v/>
      </c>
    </row>
    <row r="959" spans="1:11" x14ac:dyDescent="0.3">
      <c r="A959" s="9" t="str">
        <f t="shared" si="28"/>
        <v/>
      </c>
      <c r="B959" s="10"/>
      <c r="C959" s="5"/>
      <c r="D959" s="5"/>
      <c r="E959" s="11" t="str">
        <f>IF(D959="","",IFERROR(INDEX('Master Produk'!$B$2:$B$101,MATCH(D959,'Master Produk'!$A$2:$A$101,0)),"SKU tidak ada di master"))</f>
        <v/>
      </c>
      <c r="F959" s="6"/>
      <c r="G959" s="12" t="str">
        <f>IF(D959="","",IFERROR(INDEX('Master Produk'!$C$2:$C$101,MATCH(D959,'Master Produk'!$A$2:$A$101,0)),0)+SUMIFS(F$1:F958,D$1:D958,D959))</f>
        <v/>
      </c>
      <c r="H959" s="12" t="str">
        <f t="shared" si="29"/>
        <v/>
      </c>
      <c r="I959" s="5"/>
      <c r="J959" s="5"/>
      <c r="K959" s="11" t="str">
        <f>IF(D959="","",IF(ISNA(MATCH(D959,'Master Produk'!$A$2:$A$101,0)),"SKU tidak ada di master",IF(AND(C959="Stok masuk",F959&lt;0),"Stok masuk harus +",IF(AND(C959="Stok keluar",F959&gt;0),"Stok keluar harus -",IF(H959&lt;0,"Stok negatif","OK")))))</f>
        <v/>
      </c>
    </row>
    <row r="960" spans="1:11" x14ac:dyDescent="0.3">
      <c r="A960" s="9" t="str">
        <f t="shared" si="28"/>
        <v/>
      </c>
      <c r="B960" s="10"/>
      <c r="C960" s="5"/>
      <c r="D960" s="5"/>
      <c r="E960" s="11" t="str">
        <f>IF(D960="","",IFERROR(INDEX('Master Produk'!$B$2:$B$101,MATCH(D960,'Master Produk'!$A$2:$A$101,0)),"SKU tidak ada di master"))</f>
        <v/>
      </c>
      <c r="F960" s="6"/>
      <c r="G960" s="12" t="str">
        <f>IF(D960="","",IFERROR(INDEX('Master Produk'!$C$2:$C$101,MATCH(D960,'Master Produk'!$A$2:$A$101,0)),0)+SUMIFS(F$1:F959,D$1:D959,D960))</f>
        <v/>
      </c>
      <c r="H960" s="12" t="str">
        <f t="shared" si="29"/>
        <v/>
      </c>
      <c r="I960" s="5"/>
      <c r="J960" s="5"/>
      <c r="K960" s="11" t="str">
        <f>IF(D960="","",IF(ISNA(MATCH(D960,'Master Produk'!$A$2:$A$101,0)),"SKU tidak ada di master",IF(AND(C960="Stok masuk",F960&lt;0),"Stok masuk harus +",IF(AND(C960="Stok keluar",F960&gt;0),"Stok keluar harus -",IF(H960&lt;0,"Stok negatif","OK")))))</f>
        <v/>
      </c>
    </row>
    <row r="961" spans="1:11" x14ac:dyDescent="0.3">
      <c r="A961" s="9" t="str">
        <f t="shared" si="28"/>
        <v/>
      </c>
      <c r="B961" s="10"/>
      <c r="C961" s="5"/>
      <c r="D961" s="5"/>
      <c r="E961" s="11" t="str">
        <f>IF(D961="","",IFERROR(INDEX('Master Produk'!$B$2:$B$101,MATCH(D961,'Master Produk'!$A$2:$A$101,0)),"SKU tidak ada di master"))</f>
        <v/>
      </c>
      <c r="F961" s="6"/>
      <c r="G961" s="12" t="str">
        <f>IF(D961="","",IFERROR(INDEX('Master Produk'!$C$2:$C$101,MATCH(D961,'Master Produk'!$A$2:$A$101,0)),0)+SUMIFS(F$1:F960,D$1:D960,D961))</f>
        <v/>
      </c>
      <c r="H961" s="12" t="str">
        <f t="shared" si="29"/>
        <v/>
      </c>
      <c r="I961" s="5"/>
      <c r="J961" s="5"/>
      <c r="K961" s="11" t="str">
        <f>IF(D961="","",IF(ISNA(MATCH(D961,'Master Produk'!$A$2:$A$101,0)),"SKU tidak ada di master",IF(AND(C961="Stok masuk",F961&lt;0),"Stok masuk harus +",IF(AND(C961="Stok keluar",F961&gt;0),"Stok keluar harus -",IF(H961&lt;0,"Stok negatif","OK")))))</f>
        <v/>
      </c>
    </row>
    <row r="962" spans="1:11" x14ac:dyDescent="0.3">
      <c r="A962" s="9" t="str">
        <f t="shared" ref="A962:A1000" si="30">IF(D962="","",ROW()-1)</f>
        <v/>
      </c>
      <c r="B962" s="10"/>
      <c r="C962" s="5"/>
      <c r="D962" s="5"/>
      <c r="E962" s="11" t="str">
        <f>IF(D962="","",IFERROR(INDEX('Master Produk'!$B$2:$B$101,MATCH(D962,'Master Produk'!$A$2:$A$101,0)),"SKU tidak ada di master"))</f>
        <v/>
      </c>
      <c r="F962" s="6"/>
      <c r="G962" s="12" t="str">
        <f>IF(D962="","",IFERROR(INDEX('Master Produk'!$C$2:$C$101,MATCH(D962,'Master Produk'!$A$2:$A$101,0)),0)+SUMIFS(F$1:F961,D$1:D961,D962))</f>
        <v/>
      </c>
      <c r="H962" s="12" t="str">
        <f t="shared" ref="H962:H1025" si="31">IF(D962="","",G962+F962)</f>
        <v/>
      </c>
      <c r="I962" s="5"/>
      <c r="J962" s="5"/>
      <c r="K962" s="11" t="str">
        <f>IF(D962="","",IF(ISNA(MATCH(D962,'Master Produk'!$A$2:$A$101,0)),"SKU tidak ada di master",IF(AND(C962="Stok masuk",F962&lt;0),"Stok masuk harus +",IF(AND(C962="Stok keluar",F962&gt;0),"Stok keluar harus -",IF(H962&lt;0,"Stok negatif","OK")))))</f>
        <v/>
      </c>
    </row>
    <row r="963" spans="1:11" x14ac:dyDescent="0.3">
      <c r="A963" s="9" t="str">
        <f t="shared" si="30"/>
        <v/>
      </c>
      <c r="B963" s="10"/>
      <c r="C963" s="5"/>
      <c r="D963" s="5"/>
      <c r="E963" s="11" t="str">
        <f>IF(D963="","",IFERROR(INDEX('Master Produk'!$B$2:$B$101,MATCH(D963,'Master Produk'!$A$2:$A$101,0)),"SKU tidak ada di master"))</f>
        <v/>
      </c>
      <c r="F963" s="6"/>
      <c r="G963" s="12" t="str">
        <f>IF(D963="","",IFERROR(INDEX('Master Produk'!$C$2:$C$101,MATCH(D963,'Master Produk'!$A$2:$A$101,0)),0)+SUMIFS(F$1:F962,D$1:D962,D963))</f>
        <v/>
      </c>
      <c r="H963" s="12" t="str">
        <f t="shared" si="31"/>
        <v/>
      </c>
      <c r="I963" s="5"/>
      <c r="J963" s="5"/>
      <c r="K963" s="11" t="str">
        <f>IF(D963="","",IF(ISNA(MATCH(D963,'Master Produk'!$A$2:$A$101,0)),"SKU tidak ada di master",IF(AND(C963="Stok masuk",F963&lt;0),"Stok masuk harus +",IF(AND(C963="Stok keluar",F963&gt;0),"Stok keluar harus -",IF(H963&lt;0,"Stok negatif","OK")))))</f>
        <v/>
      </c>
    </row>
    <row r="964" spans="1:11" x14ac:dyDescent="0.3">
      <c r="A964" s="9" t="str">
        <f t="shared" si="30"/>
        <v/>
      </c>
      <c r="B964" s="10"/>
      <c r="C964" s="5"/>
      <c r="D964" s="5"/>
      <c r="E964" s="11" t="str">
        <f>IF(D964="","",IFERROR(INDEX('Master Produk'!$B$2:$B$101,MATCH(D964,'Master Produk'!$A$2:$A$101,0)),"SKU tidak ada di master"))</f>
        <v/>
      </c>
      <c r="F964" s="6"/>
      <c r="G964" s="12" t="str">
        <f>IF(D964="","",IFERROR(INDEX('Master Produk'!$C$2:$C$101,MATCH(D964,'Master Produk'!$A$2:$A$101,0)),0)+SUMIFS(F$1:F963,D$1:D963,D964))</f>
        <v/>
      </c>
      <c r="H964" s="12" t="str">
        <f t="shared" si="31"/>
        <v/>
      </c>
      <c r="I964" s="5"/>
      <c r="J964" s="5"/>
      <c r="K964" s="11" t="str">
        <f>IF(D964="","",IF(ISNA(MATCH(D964,'Master Produk'!$A$2:$A$101,0)),"SKU tidak ada di master",IF(AND(C964="Stok masuk",F964&lt;0),"Stok masuk harus +",IF(AND(C964="Stok keluar",F964&gt;0),"Stok keluar harus -",IF(H964&lt;0,"Stok negatif","OK")))))</f>
        <v/>
      </c>
    </row>
    <row r="965" spans="1:11" x14ac:dyDescent="0.3">
      <c r="A965" s="9" t="str">
        <f t="shared" si="30"/>
        <v/>
      </c>
      <c r="B965" s="10"/>
      <c r="C965" s="5"/>
      <c r="D965" s="5"/>
      <c r="E965" s="11" t="str">
        <f>IF(D965="","",IFERROR(INDEX('Master Produk'!$B$2:$B$101,MATCH(D965,'Master Produk'!$A$2:$A$101,0)),"SKU tidak ada di master"))</f>
        <v/>
      </c>
      <c r="F965" s="6"/>
      <c r="G965" s="12" t="str">
        <f>IF(D965="","",IFERROR(INDEX('Master Produk'!$C$2:$C$101,MATCH(D965,'Master Produk'!$A$2:$A$101,0)),0)+SUMIFS(F$1:F964,D$1:D964,D965))</f>
        <v/>
      </c>
      <c r="H965" s="12" t="str">
        <f t="shared" si="31"/>
        <v/>
      </c>
      <c r="I965" s="5"/>
      <c r="J965" s="5"/>
      <c r="K965" s="11" t="str">
        <f>IF(D965="","",IF(ISNA(MATCH(D965,'Master Produk'!$A$2:$A$101,0)),"SKU tidak ada di master",IF(AND(C965="Stok masuk",F965&lt;0),"Stok masuk harus +",IF(AND(C965="Stok keluar",F965&gt;0),"Stok keluar harus -",IF(H965&lt;0,"Stok negatif","OK")))))</f>
        <v/>
      </c>
    </row>
    <row r="966" spans="1:11" x14ac:dyDescent="0.3">
      <c r="A966" s="9" t="str">
        <f t="shared" si="30"/>
        <v/>
      </c>
      <c r="B966" s="10"/>
      <c r="C966" s="5"/>
      <c r="D966" s="5"/>
      <c r="E966" s="11" t="str">
        <f>IF(D966="","",IFERROR(INDEX('Master Produk'!$B$2:$B$101,MATCH(D966,'Master Produk'!$A$2:$A$101,0)),"SKU tidak ada di master"))</f>
        <v/>
      </c>
      <c r="F966" s="6"/>
      <c r="G966" s="12" t="str">
        <f>IF(D966="","",IFERROR(INDEX('Master Produk'!$C$2:$C$101,MATCH(D966,'Master Produk'!$A$2:$A$101,0)),0)+SUMIFS(F$1:F965,D$1:D965,D966))</f>
        <v/>
      </c>
      <c r="H966" s="12" t="str">
        <f t="shared" si="31"/>
        <v/>
      </c>
      <c r="I966" s="5"/>
      <c r="J966" s="5"/>
      <c r="K966" s="11" t="str">
        <f>IF(D966="","",IF(ISNA(MATCH(D966,'Master Produk'!$A$2:$A$101,0)),"SKU tidak ada di master",IF(AND(C966="Stok masuk",F966&lt;0),"Stok masuk harus +",IF(AND(C966="Stok keluar",F966&gt;0),"Stok keluar harus -",IF(H966&lt;0,"Stok negatif","OK")))))</f>
        <v/>
      </c>
    </row>
    <row r="967" spans="1:11" x14ac:dyDescent="0.3">
      <c r="A967" s="9" t="str">
        <f t="shared" si="30"/>
        <v/>
      </c>
      <c r="B967" s="10"/>
      <c r="C967" s="5"/>
      <c r="D967" s="5"/>
      <c r="E967" s="11" t="str">
        <f>IF(D967="","",IFERROR(INDEX('Master Produk'!$B$2:$B$101,MATCH(D967,'Master Produk'!$A$2:$A$101,0)),"SKU tidak ada di master"))</f>
        <v/>
      </c>
      <c r="F967" s="6"/>
      <c r="G967" s="12" t="str">
        <f>IF(D967="","",IFERROR(INDEX('Master Produk'!$C$2:$C$101,MATCH(D967,'Master Produk'!$A$2:$A$101,0)),0)+SUMIFS(F$1:F966,D$1:D966,D967))</f>
        <v/>
      </c>
      <c r="H967" s="12" t="str">
        <f t="shared" si="31"/>
        <v/>
      </c>
      <c r="I967" s="5"/>
      <c r="J967" s="5"/>
      <c r="K967" s="11" t="str">
        <f>IF(D967="","",IF(ISNA(MATCH(D967,'Master Produk'!$A$2:$A$101,0)),"SKU tidak ada di master",IF(AND(C967="Stok masuk",F967&lt;0),"Stok masuk harus +",IF(AND(C967="Stok keluar",F967&gt;0),"Stok keluar harus -",IF(H967&lt;0,"Stok negatif","OK")))))</f>
        <v/>
      </c>
    </row>
    <row r="968" spans="1:11" x14ac:dyDescent="0.3">
      <c r="A968" s="9" t="str">
        <f t="shared" si="30"/>
        <v/>
      </c>
      <c r="B968" s="10"/>
      <c r="C968" s="5"/>
      <c r="D968" s="5"/>
      <c r="E968" s="11" t="str">
        <f>IF(D968="","",IFERROR(INDEX('Master Produk'!$B$2:$B$101,MATCH(D968,'Master Produk'!$A$2:$A$101,0)),"SKU tidak ada di master"))</f>
        <v/>
      </c>
      <c r="F968" s="6"/>
      <c r="G968" s="12" t="str">
        <f>IF(D968="","",IFERROR(INDEX('Master Produk'!$C$2:$C$101,MATCH(D968,'Master Produk'!$A$2:$A$101,0)),0)+SUMIFS(F$1:F967,D$1:D967,D968))</f>
        <v/>
      </c>
      <c r="H968" s="12" t="str">
        <f t="shared" si="31"/>
        <v/>
      </c>
      <c r="I968" s="5"/>
      <c r="J968" s="5"/>
      <c r="K968" s="11" t="str">
        <f>IF(D968="","",IF(ISNA(MATCH(D968,'Master Produk'!$A$2:$A$101,0)),"SKU tidak ada di master",IF(AND(C968="Stok masuk",F968&lt;0),"Stok masuk harus +",IF(AND(C968="Stok keluar",F968&gt;0),"Stok keluar harus -",IF(H968&lt;0,"Stok negatif","OK")))))</f>
        <v/>
      </c>
    </row>
    <row r="969" spans="1:11" x14ac:dyDescent="0.3">
      <c r="A969" s="9" t="str">
        <f t="shared" si="30"/>
        <v/>
      </c>
      <c r="B969" s="10"/>
      <c r="C969" s="5"/>
      <c r="D969" s="5"/>
      <c r="E969" s="11" t="str">
        <f>IF(D969="","",IFERROR(INDEX('Master Produk'!$B$2:$B$101,MATCH(D969,'Master Produk'!$A$2:$A$101,0)),"SKU tidak ada di master"))</f>
        <v/>
      </c>
      <c r="F969" s="6"/>
      <c r="G969" s="12" t="str">
        <f>IF(D969="","",IFERROR(INDEX('Master Produk'!$C$2:$C$101,MATCH(D969,'Master Produk'!$A$2:$A$101,0)),0)+SUMIFS(F$1:F968,D$1:D968,D969))</f>
        <v/>
      </c>
      <c r="H969" s="12" t="str">
        <f t="shared" si="31"/>
        <v/>
      </c>
      <c r="I969" s="5"/>
      <c r="J969" s="5"/>
      <c r="K969" s="11" t="str">
        <f>IF(D969="","",IF(ISNA(MATCH(D969,'Master Produk'!$A$2:$A$101,0)),"SKU tidak ada di master",IF(AND(C969="Stok masuk",F969&lt;0),"Stok masuk harus +",IF(AND(C969="Stok keluar",F969&gt;0),"Stok keluar harus -",IF(H969&lt;0,"Stok negatif","OK")))))</f>
        <v/>
      </c>
    </row>
    <row r="970" spans="1:11" x14ac:dyDescent="0.3">
      <c r="A970" s="9" t="str">
        <f t="shared" si="30"/>
        <v/>
      </c>
      <c r="B970" s="10"/>
      <c r="C970" s="5"/>
      <c r="D970" s="5"/>
      <c r="E970" s="11" t="str">
        <f>IF(D970="","",IFERROR(INDEX('Master Produk'!$B$2:$B$101,MATCH(D970,'Master Produk'!$A$2:$A$101,0)),"SKU tidak ada di master"))</f>
        <v/>
      </c>
      <c r="F970" s="6"/>
      <c r="G970" s="12" t="str">
        <f>IF(D970="","",IFERROR(INDEX('Master Produk'!$C$2:$C$101,MATCH(D970,'Master Produk'!$A$2:$A$101,0)),0)+SUMIFS(F$1:F969,D$1:D969,D970))</f>
        <v/>
      </c>
      <c r="H970" s="12" t="str">
        <f t="shared" si="31"/>
        <v/>
      </c>
      <c r="I970" s="5"/>
      <c r="J970" s="5"/>
      <c r="K970" s="11" t="str">
        <f>IF(D970="","",IF(ISNA(MATCH(D970,'Master Produk'!$A$2:$A$101,0)),"SKU tidak ada di master",IF(AND(C970="Stok masuk",F970&lt;0),"Stok masuk harus +",IF(AND(C970="Stok keluar",F970&gt;0),"Stok keluar harus -",IF(H970&lt;0,"Stok negatif","OK")))))</f>
        <v/>
      </c>
    </row>
    <row r="971" spans="1:11" x14ac:dyDescent="0.3">
      <c r="A971" s="9" t="str">
        <f t="shared" si="30"/>
        <v/>
      </c>
      <c r="B971" s="10"/>
      <c r="C971" s="5"/>
      <c r="D971" s="5"/>
      <c r="E971" s="11" t="str">
        <f>IF(D971="","",IFERROR(INDEX('Master Produk'!$B$2:$B$101,MATCH(D971,'Master Produk'!$A$2:$A$101,0)),"SKU tidak ada di master"))</f>
        <v/>
      </c>
      <c r="F971" s="6"/>
      <c r="G971" s="12" t="str">
        <f>IF(D971="","",IFERROR(INDEX('Master Produk'!$C$2:$C$101,MATCH(D971,'Master Produk'!$A$2:$A$101,0)),0)+SUMIFS(F$1:F970,D$1:D970,D971))</f>
        <v/>
      </c>
      <c r="H971" s="12" t="str">
        <f t="shared" si="31"/>
        <v/>
      </c>
      <c r="I971" s="5"/>
      <c r="J971" s="5"/>
      <c r="K971" s="11" t="str">
        <f>IF(D971="","",IF(ISNA(MATCH(D971,'Master Produk'!$A$2:$A$101,0)),"SKU tidak ada di master",IF(AND(C971="Stok masuk",F971&lt;0),"Stok masuk harus +",IF(AND(C971="Stok keluar",F971&gt;0),"Stok keluar harus -",IF(H971&lt;0,"Stok negatif","OK")))))</f>
        <v/>
      </c>
    </row>
    <row r="972" spans="1:11" x14ac:dyDescent="0.3">
      <c r="A972" s="9" t="str">
        <f t="shared" si="30"/>
        <v/>
      </c>
      <c r="B972" s="10"/>
      <c r="C972" s="5"/>
      <c r="D972" s="5"/>
      <c r="E972" s="11" t="str">
        <f>IF(D972="","",IFERROR(INDEX('Master Produk'!$B$2:$B$101,MATCH(D972,'Master Produk'!$A$2:$A$101,0)),"SKU tidak ada di master"))</f>
        <v/>
      </c>
      <c r="F972" s="6"/>
      <c r="G972" s="12" t="str">
        <f>IF(D972="","",IFERROR(INDEX('Master Produk'!$C$2:$C$101,MATCH(D972,'Master Produk'!$A$2:$A$101,0)),0)+SUMIFS(F$1:F971,D$1:D971,D972))</f>
        <v/>
      </c>
      <c r="H972" s="12" t="str">
        <f t="shared" si="31"/>
        <v/>
      </c>
      <c r="I972" s="5"/>
      <c r="J972" s="5"/>
      <c r="K972" s="11" t="str">
        <f>IF(D972="","",IF(ISNA(MATCH(D972,'Master Produk'!$A$2:$A$101,0)),"SKU tidak ada di master",IF(AND(C972="Stok masuk",F972&lt;0),"Stok masuk harus +",IF(AND(C972="Stok keluar",F972&gt;0),"Stok keluar harus -",IF(H972&lt;0,"Stok negatif","OK")))))</f>
        <v/>
      </c>
    </row>
    <row r="973" spans="1:11" x14ac:dyDescent="0.3">
      <c r="A973" s="9" t="str">
        <f t="shared" si="30"/>
        <v/>
      </c>
      <c r="B973" s="10"/>
      <c r="C973" s="5"/>
      <c r="D973" s="5"/>
      <c r="E973" s="11" t="str">
        <f>IF(D973="","",IFERROR(INDEX('Master Produk'!$B$2:$B$101,MATCH(D973,'Master Produk'!$A$2:$A$101,0)),"SKU tidak ada di master"))</f>
        <v/>
      </c>
      <c r="F973" s="6"/>
      <c r="G973" s="12" t="str">
        <f>IF(D973="","",IFERROR(INDEX('Master Produk'!$C$2:$C$101,MATCH(D973,'Master Produk'!$A$2:$A$101,0)),0)+SUMIFS(F$1:F972,D$1:D972,D973))</f>
        <v/>
      </c>
      <c r="H973" s="12" t="str">
        <f t="shared" si="31"/>
        <v/>
      </c>
      <c r="I973" s="5"/>
      <c r="J973" s="5"/>
      <c r="K973" s="11" t="str">
        <f>IF(D973="","",IF(ISNA(MATCH(D973,'Master Produk'!$A$2:$A$101,0)),"SKU tidak ada di master",IF(AND(C973="Stok masuk",F973&lt;0),"Stok masuk harus +",IF(AND(C973="Stok keluar",F973&gt;0),"Stok keluar harus -",IF(H973&lt;0,"Stok negatif","OK")))))</f>
        <v/>
      </c>
    </row>
    <row r="974" spans="1:11" x14ac:dyDescent="0.3">
      <c r="A974" s="9" t="str">
        <f t="shared" si="30"/>
        <v/>
      </c>
      <c r="B974" s="10"/>
      <c r="C974" s="5"/>
      <c r="D974" s="5"/>
      <c r="E974" s="11" t="str">
        <f>IF(D974="","",IFERROR(INDEX('Master Produk'!$B$2:$B$101,MATCH(D974,'Master Produk'!$A$2:$A$101,0)),"SKU tidak ada di master"))</f>
        <v/>
      </c>
      <c r="F974" s="6"/>
      <c r="G974" s="12" t="str">
        <f>IF(D974="","",IFERROR(INDEX('Master Produk'!$C$2:$C$101,MATCH(D974,'Master Produk'!$A$2:$A$101,0)),0)+SUMIFS(F$1:F973,D$1:D973,D974))</f>
        <v/>
      </c>
      <c r="H974" s="12" t="str">
        <f t="shared" si="31"/>
        <v/>
      </c>
      <c r="I974" s="5"/>
      <c r="J974" s="5"/>
      <c r="K974" s="11" t="str">
        <f>IF(D974="","",IF(ISNA(MATCH(D974,'Master Produk'!$A$2:$A$101,0)),"SKU tidak ada di master",IF(AND(C974="Stok masuk",F974&lt;0),"Stok masuk harus +",IF(AND(C974="Stok keluar",F974&gt;0),"Stok keluar harus -",IF(H974&lt;0,"Stok negatif","OK")))))</f>
        <v/>
      </c>
    </row>
    <row r="975" spans="1:11" x14ac:dyDescent="0.3">
      <c r="A975" s="9" t="str">
        <f t="shared" si="30"/>
        <v/>
      </c>
      <c r="B975" s="10"/>
      <c r="C975" s="5"/>
      <c r="D975" s="5"/>
      <c r="E975" s="11" t="str">
        <f>IF(D975="","",IFERROR(INDEX('Master Produk'!$B$2:$B$101,MATCH(D975,'Master Produk'!$A$2:$A$101,0)),"SKU tidak ada di master"))</f>
        <v/>
      </c>
      <c r="F975" s="6"/>
      <c r="G975" s="12" t="str">
        <f>IF(D975="","",IFERROR(INDEX('Master Produk'!$C$2:$C$101,MATCH(D975,'Master Produk'!$A$2:$A$101,0)),0)+SUMIFS(F$1:F974,D$1:D974,D975))</f>
        <v/>
      </c>
      <c r="H975" s="12" t="str">
        <f t="shared" si="31"/>
        <v/>
      </c>
      <c r="I975" s="5"/>
      <c r="J975" s="5"/>
      <c r="K975" s="11" t="str">
        <f>IF(D975="","",IF(ISNA(MATCH(D975,'Master Produk'!$A$2:$A$101,0)),"SKU tidak ada di master",IF(AND(C975="Stok masuk",F975&lt;0),"Stok masuk harus +",IF(AND(C975="Stok keluar",F975&gt;0),"Stok keluar harus -",IF(H975&lt;0,"Stok negatif","OK")))))</f>
        <v/>
      </c>
    </row>
    <row r="976" spans="1:11" x14ac:dyDescent="0.3">
      <c r="A976" s="9" t="str">
        <f t="shared" si="30"/>
        <v/>
      </c>
      <c r="B976" s="10"/>
      <c r="C976" s="5"/>
      <c r="D976" s="5"/>
      <c r="E976" s="11" t="str">
        <f>IF(D976="","",IFERROR(INDEX('Master Produk'!$B$2:$B$101,MATCH(D976,'Master Produk'!$A$2:$A$101,0)),"SKU tidak ada di master"))</f>
        <v/>
      </c>
      <c r="F976" s="6"/>
      <c r="G976" s="12" t="str">
        <f>IF(D976="","",IFERROR(INDEX('Master Produk'!$C$2:$C$101,MATCH(D976,'Master Produk'!$A$2:$A$101,0)),0)+SUMIFS(F$1:F975,D$1:D975,D976))</f>
        <v/>
      </c>
      <c r="H976" s="12" t="str">
        <f t="shared" si="31"/>
        <v/>
      </c>
      <c r="I976" s="5"/>
      <c r="J976" s="5"/>
      <c r="K976" s="11" t="str">
        <f>IF(D976="","",IF(ISNA(MATCH(D976,'Master Produk'!$A$2:$A$101,0)),"SKU tidak ada di master",IF(AND(C976="Stok masuk",F976&lt;0),"Stok masuk harus +",IF(AND(C976="Stok keluar",F976&gt;0),"Stok keluar harus -",IF(H976&lt;0,"Stok negatif","OK")))))</f>
        <v/>
      </c>
    </row>
    <row r="977" spans="1:11" x14ac:dyDescent="0.3">
      <c r="A977" s="9" t="str">
        <f t="shared" si="30"/>
        <v/>
      </c>
      <c r="B977" s="10"/>
      <c r="C977" s="5"/>
      <c r="D977" s="5"/>
      <c r="E977" s="11" t="str">
        <f>IF(D977="","",IFERROR(INDEX('Master Produk'!$B$2:$B$101,MATCH(D977,'Master Produk'!$A$2:$A$101,0)),"SKU tidak ada di master"))</f>
        <v/>
      </c>
      <c r="F977" s="6"/>
      <c r="G977" s="12" t="str">
        <f>IF(D977="","",IFERROR(INDEX('Master Produk'!$C$2:$C$101,MATCH(D977,'Master Produk'!$A$2:$A$101,0)),0)+SUMIFS(F$1:F976,D$1:D976,D977))</f>
        <v/>
      </c>
      <c r="H977" s="12" t="str">
        <f t="shared" si="31"/>
        <v/>
      </c>
      <c r="I977" s="5"/>
      <c r="J977" s="5"/>
      <c r="K977" s="11" t="str">
        <f>IF(D977="","",IF(ISNA(MATCH(D977,'Master Produk'!$A$2:$A$101,0)),"SKU tidak ada di master",IF(AND(C977="Stok masuk",F977&lt;0),"Stok masuk harus +",IF(AND(C977="Stok keluar",F977&gt;0),"Stok keluar harus -",IF(H977&lt;0,"Stok negatif","OK")))))</f>
        <v/>
      </c>
    </row>
    <row r="978" spans="1:11" x14ac:dyDescent="0.3">
      <c r="A978" s="9" t="str">
        <f t="shared" si="30"/>
        <v/>
      </c>
      <c r="B978" s="10"/>
      <c r="C978" s="5"/>
      <c r="D978" s="5"/>
      <c r="E978" s="11" t="str">
        <f>IF(D978="","",IFERROR(INDEX('Master Produk'!$B$2:$B$101,MATCH(D978,'Master Produk'!$A$2:$A$101,0)),"SKU tidak ada di master"))</f>
        <v/>
      </c>
      <c r="F978" s="6"/>
      <c r="G978" s="12" t="str">
        <f>IF(D978="","",IFERROR(INDEX('Master Produk'!$C$2:$C$101,MATCH(D978,'Master Produk'!$A$2:$A$101,0)),0)+SUMIFS(F$1:F977,D$1:D977,D978))</f>
        <v/>
      </c>
      <c r="H978" s="12" t="str">
        <f t="shared" si="31"/>
        <v/>
      </c>
      <c r="I978" s="5"/>
      <c r="J978" s="5"/>
      <c r="K978" s="11" t="str">
        <f>IF(D978="","",IF(ISNA(MATCH(D978,'Master Produk'!$A$2:$A$101,0)),"SKU tidak ada di master",IF(AND(C978="Stok masuk",F978&lt;0),"Stok masuk harus +",IF(AND(C978="Stok keluar",F978&gt;0),"Stok keluar harus -",IF(H978&lt;0,"Stok negatif","OK")))))</f>
        <v/>
      </c>
    </row>
    <row r="979" spans="1:11" x14ac:dyDescent="0.3">
      <c r="A979" s="9" t="str">
        <f t="shared" si="30"/>
        <v/>
      </c>
      <c r="B979" s="10"/>
      <c r="C979" s="5"/>
      <c r="D979" s="5"/>
      <c r="E979" s="11" t="str">
        <f>IF(D979="","",IFERROR(INDEX('Master Produk'!$B$2:$B$101,MATCH(D979,'Master Produk'!$A$2:$A$101,0)),"SKU tidak ada di master"))</f>
        <v/>
      </c>
      <c r="F979" s="6"/>
      <c r="G979" s="12" t="str">
        <f>IF(D979="","",IFERROR(INDEX('Master Produk'!$C$2:$C$101,MATCH(D979,'Master Produk'!$A$2:$A$101,0)),0)+SUMIFS(F$1:F978,D$1:D978,D979))</f>
        <v/>
      </c>
      <c r="H979" s="12" t="str">
        <f t="shared" si="31"/>
        <v/>
      </c>
      <c r="I979" s="5"/>
      <c r="J979" s="5"/>
      <c r="K979" s="11" t="str">
        <f>IF(D979="","",IF(ISNA(MATCH(D979,'Master Produk'!$A$2:$A$101,0)),"SKU tidak ada di master",IF(AND(C979="Stok masuk",F979&lt;0),"Stok masuk harus +",IF(AND(C979="Stok keluar",F979&gt;0),"Stok keluar harus -",IF(H979&lt;0,"Stok negatif","OK")))))</f>
        <v/>
      </c>
    </row>
    <row r="980" spans="1:11" x14ac:dyDescent="0.3">
      <c r="A980" s="9" t="str">
        <f t="shared" si="30"/>
        <v/>
      </c>
      <c r="B980" s="10"/>
      <c r="C980" s="5"/>
      <c r="D980" s="5"/>
      <c r="E980" s="11" t="str">
        <f>IF(D980="","",IFERROR(INDEX('Master Produk'!$B$2:$B$101,MATCH(D980,'Master Produk'!$A$2:$A$101,0)),"SKU tidak ada di master"))</f>
        <v/>
      </c>
      <c r="F980" s="6"/>
      <c r="G980" s="12" t="str">
        <f>IF(D980="","",IFERROR(INDEX('Master Produk'!$C$2:$C$101,MATCH(D980,'Master Produk'!$A$2:$A$101,0)),0)+SUMIFS(F$1:F979,D$1:D979,D980))</f>
        <v/>
      </c>
      <c r="H980" s="12" t="str">
        <f t="shared" si="31"/>
        <v/>
      </c>
      <c r="I980" s="5"/>
      <c r="J980" s="5"/>
      <c r="K980" s="11" t="str">
        <f>IF(D980="","",IF(ISNA(MATCH(D980,'Master Produk'!$A$2:$A$101,0)),"SKU tidak ada di master",IF(AND(C980="Stok masuk",F980&lt;0),"Stok masuk harus +",IF(AND(C980="Stok keluar",F980&gt;0),"Stok keluar harus -",IF(H980&lt;0,"Stok negatif","OK")))))</f>
        <v/>
      </c>
    </row>
    <row r="981" spans="1:11" x14ac:dyDescent="0.3">
      <c r="A981" s="9" t="str">
        <f t="shared" si="30"/>
        <v/>
      </c>
      <c r="B981" s="10"/>
      <c r="C981" s="5"/>
      <c r="D981" s="5"/>
      <c r="E981" s="11" t="str">
        <f>IF(D981="","",IFERROR(INDEX('Master Produk'!$B$2:$B$101,MATCH(D981,'Master Produk'!$A$2:$A$101,0)),"SKU tidak ada di master"))</f>
        <v/>
      </c>
      <c r="F981" s="6"/>
      <c r="G981" s="12" t="str">
        <f>IF(D981="","",IFERROR(INDEX('Master Produk'!$C$2:$C$101,MATCH(D981,'Master Produk'!$A$2:$A$101,0)),0)+SUMIFS(F$1:F980,D$1:D980,D981))</f>
        <v/>
      </c>
      <c r="H981" s="12" t="str">
        <f t="shared" si="31"/>
        <v/>
      </c>
      <c r="I981" s="5"/>
      <c r="J981" s="5"/>
      <c r="K981" s="11" t="str">
        <f>IF(D981="","",IF(ISNA(MATCH(D981,'Master Produk'!$A$2:$A$101,0)),"SKU tidak ada di master",IF(AND(C981="Stok masuk",F981&lt;0),"Stok masuk harus +",IF(AND(C981="Stok keluar",F981&gt;0),"Stok keluar harus -",IF(H981&lt;0,"Stok negatif","OK")))))</f>
        <v/>
      </c>
    </row>
    <row r="982" spans="1:11" x14ac:dyDescent="0.3">
      <c r="A982" s="9" t="str">
        <f t="shared" si="30"/>
        <v/>
      </c>
      <c r="B982" s="10"/>
      <c r="C982" s="5"/>
      <c r="D982" s="5"/>
      <c r="E982" s="11" t="str">
        <f>IF(D982="","",IFERROR(INDEX('Master Produk'!$B$2:$B$101,MATCH(D982,'Master Produk'!$A$2:$A$101,0)),"SKU tidak ada di master"))</f>
        <v/>
      </c>
      <c r="F982" s="6"/>
      <c r="G982" s="12" t="str">
        <f>IF(D982="","",IFERROR(INDEX('Master Produk'!$C$2:$C$101,MATCH(D982,'Master Produk'!$A$2:$A$101,0)),0)+SUMIFS(F$1:F981,D$1:D981,D982))</f>
        <v/>
      </c>
      <c r="H982" s="12" t="str">
        <f t="shared" si="31"/>
        <v/>
      </c>
      <c r="I982" s="5"/>
      <c r="J982" s="5"/>
      <c r="K982" s="11" t="str">
        <f>IF(D982="","",IF(ISNA(MATCH(D982,'Master Produk'!$A$2:$A$101,0)),"SKU tidak ada di master",IF(AND(C982="Stok masuk",F982&lt;0),"Stok masuk harus +",IF(AND(C982="Stok keluar",F982&gt;0),"Stok keluar harus -",IF(H982&lt;0,"Stok negatif","OK")))))</f>
        <v/>
      </c>
    </row>
    <row r="983" spans="1:11" x14ac:dyDescent="0.3">
      <c r="A983" s="9" t="str">
        <f t="shared" si="30"/>
        <v/>
      </c>
      <c r="B983" s="10"/>
      <c r="C983" s="5"/>
      <c r="D983" s="5"/>
      <c r="E983" s="11" t="str">
        <f>IF(D983="","",IFERROR(INDEX('Master Produk'!$B$2:$B$101,MATCH(D983,'Master Produk'!$A$2:$A$101,0)),"SKU tidak ada di master"))</f>
        <v/>
      </c>
      <c r="F983" s="6"/>
      <c r="G983" s="12" t="str">
        <f>IF(D983="","",IFERROR(INDEX('Master Produk'!$C$2:$C$101,MATCH(D983,'Master Produk'!$A$2:$A$101,0)),0)+SUMIFS(F$1:F982,D$1:D982,D983))</f>
        <v/>
      </c>
      <c r="H983" s="12" t="str">
        <f t="shared" si="31"/>
        <v/>
      </c>
      <c r="I983" s="5"/>
      <c r="J983" s="5"/>
      <c r="K983" s="11" t="str">
        <f>IF(D983="","",IF(ISNA(MATCH(D983,'Master Produk'!$A$2:$A$101,0)),"SKU tidak ada di master",IF(AND(C983="Stok masuk",F983&lt;0),"Stok masuk harus +",IF(AND(C983="Stok keluar",F983&gt;0),"Stok keluar harus -",IF(H983&lt;0,"Stok negatif","OK")))))</f>
        <v/>
      </c>
    </row>
    <row r="984" spans="1:11" x14ac:dyDescent="0.3">
      <c r="A984" s="9" t="str">
        <f t="shared" si="30"/>
        <v/>
      </c>
      <c r="B984" s="10"/>
      <c r="C984" s="5"/>
      <c r="D984" s="5"/>
      <c r="E984" s="11" t="str">
        <f>IF(D984="","",IFERROR(INDEX('Master Produk'!$B$2:$B$101,MATCH(D984,'Master Produk'!$A$2:$A$101,0)),"SKU tidak ada di master"))</f>
        <v/>
      </c>
      <c r="F984" s="6"/>
      <c r="G984" s="12" t="str">
        <f>IF(D984="","",IFERROR(INDEX('Master Produk'!$C$2:$C$101,MATCH(D984,'Master Produk'!$A$2:$A$101,0)),0)+SUMIFS(F$1:F983,D$1:D983,D984))</f>
        <v/>
      </c>
      <c r="H984" s="12" t="str">
        <f t="shared" si="31"/>
        <v/>
      </c>
      <c r="I984" s="5"/>
      <c r="J984" s="5"/>
      <c r="K984" s="11" t="str">
        <f>IF(D984="","",IF(ISNA(MATCH(D984,'Master Produk'!$A$2:$A$101,0)),"SKU tidak ada di master",IF(AND(C984="Stok masuk",F984&lt;0),"Stok masuk harus +",IF(AND(C984="Stok keluar",F984&gt;0),"Stok keluar harus -",IF(H984&lt;0,"Stok negatif","OK")))))</f>
        <v/>
      </c>
    </row>
    <row r="985" spans="1:11" x14ac:dyDescent="0.3">
      <c r="A985" s="9" t="str">
        <f t="shared" si="30"/>
        <v/>
      </c>
      <c r="B985" s="10"/>
      <c r="C985" s="5"/>
      <c r="D985" s="5"/>
      <c r="E985" s="11" t="str">
        <f>IF(D985="","",IFERROR(INDEX('Master Produk'!$B$2:$B$101,MATCH(D985,'Master Produk'!$A$2:$A$101,0)),"SKU tidak ada di master"))</f>
        <v/>
      </c>
      <c r="F985" s="6"/>
      <c r="G985" s="12" t="str">
        <f>IF(D985="","",IFERROR(INDEX('Master Produk'!$C$2:$C$101,MATCH(D985,'Master Produk'!$A$2:$A$101,0)),0)+SUMIFS(F$1:F984,D$1:D984,D985))</f>
        <v/>
      </c>
      <c r="H985" s="12" t="str">
        <f t="shared" si="31"/>
        <v/>
      </c>
      <c r="I985" s="5"/>
      <c r="J985" s="5"/>
      <c r="K985" s="11" t="str">
        <f>IF(D985="","",IF(ISNA(MATCH(D985,'Master Produk'!$A$2:$A$101,0)),"SKU tidak ada di master",IF(AND(C985="Stok masuk",F985&lt;0),"Stok masuk harus +",IF(AND(C985="Stok keluar",F985&gt;0),"Stok keluar harus -",IF(H985&lt;0,"Stok negatif","OK")))))</f>
        <v/>
      </c>
    </row>
    <row r="986" spans="1:11" x14ac:dyDescent="0.3">
      <c r="A986" s="9" t="str">
        <f t="shared" si="30"/>
        <v/>
      </c>
      <c r="B986" s="10"/>
      <c r="C986" s="5"/>
      <c r="D986" s="5"/>
      <c r="E986" s="11" t="str">
        <f>IF(D986="","",IFERROR(INDEX('Master Produk'!$B$2:$B$101,MATCH(D986,'Master Produk'!$A$2:$A$101,0)),"SKU tidak ada di master"))</f>
        <v/>
      </c>
      <c r="F986" s="6"/>
      <c r="G986" s="12" t="str">
        <f>IF(D986="","",IFERROR(INDEX('Master Produk'!$C$2:$C$101,MATCH(D986,'Master Produk'!$A$2:$A$101,0)),0)+SUMIFS(F$1:F985,D$1:D985,D986))</f>
        <v/>
      </c>
      <c r="H986" s="12" t="str">
        <f t="shared" si="31"/>
        <v/>
      </c>
      <c r="I986" s="5"/>
      <c r="J986" s="5"/>
      <c r="K986" s="11" t="str">
        <f>IF(D986="","",IF(ISNA(MATCH(D986,'Master Produk'!$A$2:$A$101,0)),"SKU tidak ada di master",IF(AND(C986="Stok masuk",F986&lt;0),"Stok masuk harus +",IF(AND(C986="Stok keluar",F986&gt;0),"Stok keluar harus -",IF(H986&lt;0,"Stok negatif","OK")))))</f>
        <v/>
      </c>
    </row>
    <row r="987" spans="1:11" x14ac:dyDescent="0.3">
      <c r="A987" s="9" t="str">
        <f t="shared" si="30"/>
        <v/>
      </c>
      <c r="B987" s="10"/>
      <c r="C987" s="5"/>
      <c r="D987" s="5"/>
      <c r="E987" s="11" t="str">
        <f>IF(D987="","",IFERROR(INDEX('Master Produk'!$B$2:$B$101,MATCH(D987,'Master Produk'!$A$2:$A$101,0)),"SKU tidak ada di master"))</f>
        <v/>
      </c>
      <c r="F987" s="6"/>
      <c r="G987" s="12" t="str">
        <f>IF(D987="","",IFERROR(INDEX('Master Produk'!$C$2:$C$101,MATCH(D987,'Master Produk'!$A$2:$A$101,0)),0)+SUMIFS(F$1:F986,D$1:D986,D987))</f>
        <v/>
      </c>
      <c r="H987" s="12" t="str">
        <f t="shared" si="31"/>
        <v/>
      </c>
      <c r="I987" s="5"/>
      <c r="J987" s="5"/>
      <c r="K987" s="11" t="str">
        <f>IF(D987="","",IF(ISNA(MATCH(D987,'Master Produk'!$A$2:$A$101,0)),"SKU tidak ada di master",IF(AND(C987="Stok masuk",F987&lt;0),"Stok masuk harus +",IF(AND(C987="Stok keluar",F987&gt;0),"Stok keluar harus -",IF(H987&lt;0,"Stok negatif","OK")))))</f>
        <v/>
      </c>
    </row>
    <row r="988" spans="1:11" x14ac:dyDescent="0.3">
      <c r="A988" s="9" t="str">
        <f t="shared" si="30"/>
        <v/>
      </c>
      <c r="B988" s="10"/>
      <c r="C988" s="5"/>
      <c r="D988" s="5"/>
      <c r="E988" s="11" t="str">
        <f>IF(D988="","",IFERROR(INDEX('Master Produk'!$B$2:$B$101,MATCH(D988,'Master Produk'!$A$2:$A$101,0)),"SKU tidak ada di master"))</f>
        <v/>
      </c>
      <c r="F988" s="6"/>
      <c r="G988" s="12" t="str">
        <f>IF(D988="","",IFERROR(INDEX('Master Produk'!$C$2:$C$101,MATCH(D988,'Master Produk'!$A$2:$A$101,0)),0)+SUMIFS(F$1:F987,D$1:D987,D988))</f>
        <v/>
      </c>
      <c r="H988" s="12" t="str">
        <f t="shared" si="31"/>
        <v/>
      </c>
      <c r="I988" s="5"/>
      <c r="J988" s="5"/>
      <c r="K988" s="11" t="str">
        <f>IF(D988="","",IF(ISNA(MATCH(D988,'Master Produk'!$A$2:$A$101,0)),"SKU tidak ada di master",IF(AND(C988="Stok masuk",F988&lt;0),"Stok masuk harus +",IF(AND(C988="Stok keluar",F988&gt;0),"Stok keluar harus -",IF(H988&lt;0,"Stok negatif","OK")))))</f>
        <v/>
      </c>
    </row>
    <row r="989" spans="1:11" x14ac:dyDescent="0.3">
      <c r="A989" s="9" t="str">
        <f t="shared" si="30"/>
        <v/>
      </c>
      <c r="B989" s="10"/>
      <c r="C989" s="5"/>
      <c r="D989" s="5"/>
      <c r="E989" s="11" t="str">
        <f>IF(D989="","",IFERROR(INDEX('Master Produk'!$B$2:$B$101,MATCH(D989,'Master Produk'!$A$2:$A$101,0)),"SKU tidak ada di master"))</f>
        <v/>
      </c>
      <c r="F989" s="6"/>
      <c r="G989" s="12" t="str">
        <f>IF(D989="","",IFERROR(INDEX('Master Produk'!$C$2:$C$101,MATCH(D989,'Master Produk'!$A$2:$A$101,0)),0)+SUMIFS(F$1:F988,D$1:D988,D989))</f>
        <v/>
      </c>
      <c r="H989" s="12" t="str">
        <f t="shared" si="31"/>
        <v/>
      </c>
      <c r="I989" s="5"/>
      <c r="J989" s="5"/>
      <c r="K989" s="11" t="str">
        <f>IF(D989="","",IF(ISNA(MATCH(D989,'Master Produk'!$A$2:$A$101,0)),"SKU tidak ada di master",IF(AND(C989="Stok masuk",F989&lt;0),"Stok masuk harus +",IF(AND(C989="Stok keluar",F989&gt;0),"Stok keluar harus -",IF(H989&lt;0,"Stok negatif","OK")))))</f>
        <v/>
      </c>
    </row>
    <row r="990" spans="1:11" x14ac:dyDescent="0.3">
      <c r="A990" s="9" t="str">
        <f t="shared" si="30"/>
        <v/>
      </c>
      <c r="B990" s="10"/>
      <c r="C990" s="5"/>
      <c r="D990" s="5"/>
      <c r="E990" s="11" t="str">
        <f>IF(D990="","",IFERROR(INDEX('Master Produk'!$B$2:$B$101,MATCH(D990,'Master Produk'!$A$2:$A$101,0)),"SKU tidak ada di master"))</f>
        <v/>
      </c>
      <c r="F990" s="6"/>
      <c r="G990" s="12" t="str">
        <f>IF(D990="","",IFERROR(INDEX('Master Produk'!$C$2:$C$101,MATCH(D990,'Master Produk'!$A$2:$A$101,0)),0)+SUMIFS(F$1:F989,D$1:D989,D990))</f>
        <v/>
      </c>
      <c r="H990" s="12" t="str">
        <f t="shared" si="31"/>
        <v/>
      </c>
      <c r="I990" s="5"/>
      <c r="J990" s="5"/>
      <c r="K990" s="11" t="str">
        <f>IF(D990="","",IF(ISNA(MATCH(D990,'Master Produk'!$A$2:$A$101,0)),"SKU tidak ada di master",IF(AND(C990="Stok masuk",F990&lt;0),"Stok masuk harus +",IF(AND(C990="Stok keluar",F990&gt;0),"Stok keluar harus -",IF(H990&lt;0,"Stok negatif","OK")))))</f>
        <v/>
      </c>
    </row>
    <row r="991" spans="1:11" x14ac:dyDescent="0.3">
      <c r="A991" s="9" t="str">
        <f t="shared" si="30"/>
        <v/>
      </c>
      <c r="B991" s="10"/>
      <c r="C991" s="5"/>
      <c r="D991" s="5"/>
      <c r="E991" s="11" t="str">
        <f>IF(D991="","",IFERROR(INDEX('Master Produk'!$B$2:$B$101,MATCH(D991,'Master Produk'!$A$2:$A$101,0)),"SKU tidak ada di master"))</f>
        <v/>
      </c>
      <c r="F991" s="6"/>
      <c r="G991" s="12" t="str">
        <f>IF(D991="","",IFERROR(INDEX('Master Produk'!$C$2:$C$101,MATCH(D991,'Master Produk'!$A$2:$A$101,0)),0)+SUMIFS(F$1:F990,D$1:D990,D991))</f>
        <v/>
      </c>
      <c r="H991" s="12" t="str">
        <f t="shared" si="31"/>
        <v/>
      </c>
      <c r="I991" s="5"/>
      <c r="J991" s="5"/>
      <c r="K991" s="11" t="str">
        <f>IF(D991="","",IF(ISNA(MATCH(D991,'Master Produk'!$A$2:$A$101,0)),"SKU tidak ada di master",IF(AND(C991="Stok masuk",F991&lt;0),"Stok masuk harus +",IF(AND(C991="Stok keluar",F991&gt;0),"Stok keluar harus -",IF(H991&lt;0,"Stok negatif","OK")))))</f>
        <v/>
      </c>
    </row>
    <row r="992" spans="1:11" x14ac:dyDescent="0.3">
      <c r="A992" s="9" t="str">
        <f t="shared" si="30"/>
        <v/>
      </c>
      <c r="B992" s="10"/>
      <c r="C992" s="5"/>
      <c r="D992" s="5"/>
      <c r="E992" s="11" t="str">
        <f>IF(D992="","",IFERROR(INDEX('Master Produk'!$B$2:$B$101,MATCH(D992,'Master Produk'!$A$2:$A$101,0)),"SKU tidak ada di master"))</f>
        <v/>
      </c>
      <c r="F992" s="6"/>
      <c r="G992" s="12" t="str">
        <f>IF(D992="","",IFERROR(INDEX('Master Produk'!$C$2:$C$101,MATCH(D992,'Master Produk'!$A$2:$A$101,0)),0)+SUMIFS(F$1:F991,D$1:D991,D992))</f>
        <v/>
      </c>
      <c r="H992" s="12" t="str">
        <f t="shared" si="31"/>
        <v/>
      </c>
      <c r="I992" s="5"/>
      <c r="J992" s="5"/>
      <c r="K992" s="11" t="str">
        <f>IF(D992="","",IF(ISNA(MATCH(D992,'Master Produk'!$A$2:$A$101,0)),"SKU tidak ada di master",IF(AND(C992="Stok masuk",F992&lt;0),"Stok masuk harus +",IF(AND(C992="Stok keluar",F992&gt;0),"Stok keluar harus -",IF(H992&lt;0,"Stok negatif","OK")))))</f>
        <v/>
      </c>
    </row>
    <row r="993" spans="1:11" x14ac:dyDescent="0.3">
      <c r="A993" s="9" t="str">
        <f t="shared" si="30"/>
        <v/>
      </c>
      <c r="B993" s="10"/>
      <c r="C993" s="5"/>
      <c r="D993" s="5"/>
      <c r="E993" s="11" t="str">
        <f>IF(D993="","",IFERROR(INDEX('Master Produk'!$B$2:$B$101,MATCH(D993,'Master Produk'!$A$2:$A$101,0)),"SKU tidak ada di master"))</f>
        <v/>
      </c>
      <c r="F993" s="6"/>
      <c r="G993" s="12" t="str">
        <f>IF(D993="","",IFERROR(INDEX('Master Produk'!$C$2:$C$101,MATCH(D993,'Master Produk'!$A$2:$A$101,0)),0)+SUMIFS(F$1:F992,D$1:D992,D993))</f>
        <v/>
      </c>
      <c r="H993" s="12" t="str">
        <f t="shared" si="31"/>
        <v/>
      </c>
      <c r="I993" s="5"/>
      <c r="J993" s="5"/>
      <c r="K993" s="11" t="str">
        <f>IF(D993="","",IF(ISNA(MATCH(D993,'Master Produk'!$A$2:$A$101,0)),"SKU tidak ada di master",IF(AND(C993="Stok masuk",F993&lt;0),"Stok masuk harus +",IF(AND(C993="Stok keluar",F993&gt;0),"Stok keluar harus -",IF(H993&lt;0,"Stok negatif","OK")))))</f>
        <v/>
      </c>
    </row>
    <row r="994" spans="1:11" x14ac:dyDescent="0.3">
      <c r="A994" s="9" t="str">
        <f t="shared" si="30"/>
        <v/>
      </c>
      <c r="B994" s="10"/>
      <c r="C994" s="5"/>
      <c r="D994" s="5"/>
      <c r="E994" s="11" t="str">
        <f>IF(D994="","",IFERROR(INDEX('Master Produk'!$B$2:$B$101,MATCH(D994,'Master Produk'!$A$2:$A$101,0)),"SKU tidak ada di master"))</f>
        <v/>
      </c>
      <c r="F994" s="6"/>
      <c r="G994" s="12" t="str">
        <f>IF(D994="","",IFERROR(INDEX('Master Produk'!$C$2:$C$101,MATCH(D994,'Master Produk'!$A$2:$A$101,0)),0)+SUMIFS(F$1:F993,D$1:D993,D994))</f>
        <v/>
      </c>
      <c r="H994" s="12" t="str">
        <f t="shared" si="31"/>
        <v/>
      </c>
      <c r="I994" s="5"/>
      <c r="J994" s="5"/>
      <c r="K994" s="11" t="str">
        <f>IF(D994="","",IF(ISNA(MATCH(D994,'Master Produk'!$A$2:$A$101,0)),"SKU tidak ada di master",IF(AND(C994="Stok masuk",F994&lt;0),"Stok masuk harus +",IF(AND(C994="Stok keluar",F994&gt;0),"Stok keluar harus -",IF(H994&lt;0,"Stok negatif","OK")))))</f>
        <v/>
      </c>
    </row>
    <row r="995" spans="1:11" x14ac:dyDescent="0.3">
      <c r="A995" s="9" t="str">
        <f t="shared" si="30"/>
        <v/>
      </c>
      <c r="B995" s="10"/>
      <c r="C995" s="5"/>
      <c r="D995" s="5"/>
      <c r="E995" s="11" t="str">
        <f>IF(D995="","",IFERROR(INDEX('Master Produk'!$B$2:$B$101,MATCH(D995,'Master Produk'!$A$2:$A$101,0)),"SKU tidak ada di master"))</f>
        <v/>
      </c>
      <c r="F995" s="6"/>
      <c r="G995" s="12" t="str">
        <f>IF(D995="","",IFERROR(INDEX('Master Produk'!$C$2:$C$101,MATCH(D995,'Master Produk'!$A$2:$A$101,0)),0)+SUMIFS(F$1:F994,D$1:D994,D995))</f>
        <v/>
      </c>
      <c r="H995" s="12" t="str">
        <f t="shared" si="31"/>
        <v/>
      </c>
      <c r="I995" s="5"/>
      <c r="J995" s="5"/>
      <c r="K995" s="11" t="str">
        <f>IF(D995="","",IF(ISNA(MATCH(D995,'Master Produk'!$A$2:$A$101,0)),"SKU tidak ada di master",IF(AND(C995="Stok masuk",F995&lt;0),"Stok masuk harus +",IF(AND(C995="Stok keluar",F995&gt;0),"Stok keluar harus -",IF(H995&lt;0,"Stok negatif","OK")))))</f>
        <v/>
      </c>
    </row>
    <row r="996" spans="1:11" x14ac:dyDescent="0.3">
      <c r="A996" s="9" t="str">
        <f t="shared" si="30"/>
        <v/>
      </c>
      <c r="B996" s="10"/>
      <c r="C996" s="5"/>
      <c r="D996" s="5"/>
      <c r="E996" s="11" t="str">
        <f>IF(D996="","",IFERROR(INDEX('Master Produk'!$B$2:$B$101,MATCH(D996,'Master Produk'!$A$2:$A$101,0)),"SKU tidak ada di master"))</f>
        <v/>
      </c>
      <c r="F996" s="6"/>
      <c r="G996" s="12" t="str">
        <f>IF(D996="","",IFERROR(INDEX('Master Produk'!$C$2:$C$101,MATCH(D996,'Master Produk'!$A$2:$A$101,0)),0)+SUMIFS(F$1:F995,D$1:D995,D996))</f>
        <v/>
      </c>
      <c r="H996" s="12" t="str">
        <f t="shared" si="31"/>
        <v/>
      </c>
      <c r="I996" s="5"/>
      <c r="J996" s="5"/>
      <c r="K996" s="11" t="str">
        <f>IF(D996="","",IF(ISNA(MATCH(D996,'Master Produk'!$A$2:$A$101,0)),"SKU tidak ada di master",IF(AND(C996="Stok masuk",F996&lt;0),"Stok masuk harus +",IF(AND(C996="Stok keluar",F996&gt;0),"Stok keluar harus -",IF(H996&lt;0,"Stok negatif","OK")))))</f>
        <v/>
      </c>
    </row>
    <row r="997" spans="1:11" x14ac:dyDescent="0.3">
      <c r="A997" s="9" t="str">
        <f t="shared" si="30"/>
        <v/>
      </c>
      <c r="B997" s="10"/>
      <c r="C997" s="5"/>
      <c r="D997" s="5"/>
      <c r="E997" s="11" t="str">
        <f>IF(D997="","",IFERROR(INDEX('Master Produk'!$B$2:$B$101,MATCH(D997,'Master Produk'!$A$2:$A$101,0)),"SKU tidak ada di master"))</f>
        <v/>
      </c>
      <c r="F997" s="6"/>
      <c r="G997" s="12" t="str">
        <f>IF(D997="","",IFERROR(INDEX('Master Produk'!$C$2:$C$101,MATCH(D997,'Master Produk'!$A$2:$A$101,0)),0)+SUMIFS(F$1:F996,D$1:D996,D997))</f>
        <v/>
      </c>
      <c r="H997" s="12" t="str">
        <f t="shared" si="31"/>
        <v/>
      </c>
      <c r="I997" s="5"/>
      <c r="J997" s="5"/>
      <c r="K997" s="11" t="str">
        <f>IF(D997="","",IF(ISNA(MATCH(D997,'Master Produk'!$A$2:$A$101,0)),"SKU tidak ada di master",IF(AND(C997="Stok masuk",F997&lt;0),"Stok masuk harus +",IF(AND(C997="Stok keluar",F997&gt;0),"Stok keluar harus -",IF(H997&lt;0,"Stok negatif","OK")))))</f>
        <v/>
      </c>
    </row>
    <row r="998" spans="1:11" x14ac:dyDescent="0.3">
      <c r="A998" s="9" t="str">
        <f t="shared" si="30"/>
        <v/>
      </c>
      <c r="B998" s="10"/>
      <c r="C998" s="5"/>
      <c r="D998" s="5"/>
      <c r="E998" s="11" t="str">
        <f>IF(D998="","",IFERROR(INDEX('Master Produk'!$B$2:$B$101,MATCH(D998,'Master Produk'!$A$2:$A$101,0)),"SKU tidak ada di master"))</f>
        <v/>
      </c>
      <c r="F998" s="6"/>
      <c r="G998" s="12" t="str">
        <f>IF(D998="","",IFERROR(INDEX('Master Produk'!$C$2:$C$101,MATCH(D998,'Master Produk'!$A$2:$A$101,0)),0)+SUMIFS(F$1:F997,D$1:D997,D998))</f>
        <v/>
      </c>
      <c r="H998" s="12" t="str">
        <f t="shared" si="31"/>
        <v/>
      </c>
      <c r="I998" s="5"/>
      <c r="J998" s="5"/>
      <c r="K998" s="11" t="str">
        <f>IF(D998="","",IF(ISNA(MATCH(D998,'Master Produk'!$A$2:$A$101,0)),"SKU tidak ada di master",IF(AND(C998="Stok masuk",F998&lt;0),"Stok masuk harus +",IF(AND(C998="Stok keluar",F998&gt;0),"Stok keluar harus -",IF(H998&lt;0,"Stok negatif","OK")))))</f>
        <v/>
      </c>
    </row>
    <row r="999" spans="1:11" x14ac:dyDescent="0.3">
      <c r="A999" s="9" t="str">
        <f t="shared" si="30"/>
        <v/>
      </c>
      <c r="B999" s="10"/>
      <c r="C999" s="5"/>
      <c r="D999" s="5"/>
      <c r="E999" s="11" t="str">
        <f>IF(D999="","",IFERROR(INDEX('Master Produk'!$B$2:$B$101,MATCH(D999,'Master Produk'!$A$2:$A$101,0)),"SKU tidak ada di master"))</f>
        <v/>
      </c>
      <c r="F999" s="6"/>
      <c r="G999" s="12" t="str">
        <f>IF(D999="","",IFERROR(INDEX('Master Produk'!$C$2:$C$101,MATCH(D999,'Master Produk'!$A$2:$A$101,0)),0)+SUMIFS(F$1:F998,D$1:D998,D999))</f>
        <v/>
      </c>
      <c r="H999" s="12" t="str">
        <f t="shared" si="31"/>
        <v/>
      </c>
      <c r="I999" s="5"/>
      <c r="J999" s="5"/>
      <c r="K999" s="11" t="str">
        <f>IF(D999="","",IF(ISNA(MATCH(D999,'Master Produk'!$A$2:$A$101,0)),"SKU tidak ada di master",IF(AND(C999="Stok masuk",F999&lt;0),"Stok masuk harus +",IF(AND(C999="Stok keluar",F999&gt;0),"Stok keluar harus -",IF(H999&lt;0,"Stok negatif","OK")))))</f>
        <v/>
      </c>
    </row>
    <row r="1000" spans="1:11" x14ac:dyDescent="0.3">
      <c r="A1000" s="9" t="str">
        <f t="shared" si="30"/>
        <v/>
      </c>
      <c r="B1000" s="10"/>
      <c r="C1000" s="5"/>
      <c r="D1000" s="5"/>
      <c r="E1000" s="11" t="str">
        <f>IF(D1000="","",IFERROR(INDEX('Master Produk'!$B$2:$B$101,MATCH(D1000,'Master Produk'!$A$2:$A$101,0)),"SKU tidak ada di master"))</f>
        <v/>
      </c>
      <c r="F1000" s="6"/>
      <c r="G1000" s="12" t="str">
        <f>IF(D1000="","",IFERROR(INDEX('Master Produk'!$C$2:$C$101,MATCH(D1000,'Master Produk'!$A$2:$A$101,0)),0)+SUMIFS(F$1:F999,D$1:D999,D1000))</f>
        <v/>
      </c>
      <c r="H1000" s="12" t="str">
        <f t="shared" si="31"/>
        <v/>
      </c>
      <c r="I1000" s="5"/>
      <c r="J1000" s="5"/>
      <c r="K1000" s="11" t="str">
        <f>IF(D1000="","",IF(ISNA(MATCH(D1000,'Master Produk'!$A$2:$A$101,0)),"SKU tidak ada di master",IF(AND(C1000="Stok masuk",F1000&lt;0),"Stok masuk harus +",IF(AND(C1000="Stok keluar",F1000&gt;0),"Stok keluar harus -",IF(H1000&lt;0,"Stok negatif","OK")))))</f>
        <v/>
      </c>
    </row>
  </sheetData>
  <autoFilter ref="A1:K1000" xr:uid="{00000000-0009-0000-0000-000002000000}"/>
  <conditionalFormatting sqref="K2:K1000">
    <cfRule type="expression" dxfId="1" priority="2">
      <formula>AND(K2&lt;&gt;"",K2&lt;&gt;"OK")</formula>
    </cfRule>
    <cfRule type="expression" dxfId="0" priority="3">
      <formula>K2="OK"</formula>
    </cfRule>
  </conditionalFormatting>
  <dataValidations count="2">
    <dataValidation type="list" allowBlank="1" error="Pilih: Stok masuk, Stok keluar, atau Adjustment" sqref="C2:C1000" xr:uid="{00000000-0002-0000-0200-000000000000}">
      <formula1>"Stok masuk,Stok keluar,Adjustment"</formula1>
      <formula2>0</formula2>
    </dataValidation>
    <dataValidation type="decimal" allowBlank="1" error="Isi dengan angka (positif untuk masuk, negatif untuk keluar)" sqref="F2:F1000" xr:uid="{00000000-0002-0000-0200-000002000000}">
      <formula1>-1000000</formula1>
      <formula2>1000000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="SKU belum ada di Master Produk" xr:uid="{00000000-0002-0000-0200-000001000000}">
          <x14:formula1>
            <xm:f>'Master Produk'!$A$2:$A$101</xm:f>
          </x14:formula1>
          <x14:formula2>
            <xm:f>0</xm:f>
          </x14:formula2>
          <xm:sqref>D2:D1000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1"/>
  <sheetViews>
    <sheetView zoomScaleNormal="100" workbookViewId="0">
      <pane ySplit="1" topLeftCell="A2" activePane="bottomLeft" state="frozen"/>
      <selection pane="bottomLeft" activeCell="F12" sqref="F12"/>
    </sheetView>
  </sheetViews>
  <sheetFormatPr defaultColWidth="8.6640625" defaultRowHeight="14.4" x14ac:dyDescent="0.3"/>
  <cols>
    <col min="1" max="1" width="14" customWidth="1"/>
    <col min="2" max="2" width="28" customWidth="1"/>
    <col min="3" max="3" width="12" customWidth="1"/>
    <col min="4" max="5" width="14" customWidth="1"/>
    <col min="6" max="6" width="16" customWidth="1"/>
    <col min="7" max="7" width="12" customWidth="1"/>
  </cols>
  <sheetData>
    <row r="1" spans="1:7" x14ac:dyDescent="0.3">
      <c r="A1" s="13" t="s">
        <v>17</v>
      </c>
      <c r="B1" s="13" t="s">
        <v>18</v>
      </c>
      <c r="C1" s="13" t="s">
        <v>19</v>
      </c>
      <c r="D1" s="13" t="s">
        <v>35</v>
      </c>
      <c r="E1" s="13" t="s">
        <v>36</v>
      </c>
      <c r="F1" s="13" t="s">
        <v>37</v>
      </c>
      <c r="G1" s="13" t="s">
        <v>38</v>
      </c>
    </row>
    <row r="2" spans="1:7" x14ac:dyDescent="0.3">
      <c r="A2" s="14" t="str">
        <f>IF('Master Produk'!A2="","",'Master Produk'!A2)</f>
        <v>TB-001</v>
      </c>
      <c r="B2" s="14" t="str">
        <f>IF(A2="","",'Master Produk'!B2)</f>
        <v>Teh Botol</v>
      </c>
      <c r="C2" s="15">
        <f>IF(A2="","",'Master Produk'!C2)</f>
        <v>5</v>
      </c>
      <c r="D2" s="15">
        <f>IF(A2="","",SUMIFS('Input Movement'!$F$2:$F$1000,'Input Movement'!$D$2:$D$1000,A2,'Input Movement'!$C$2:$C$1000,"Stok masuk"))</f>
        <v>0</v>
      </c>
      <c r="E2" s="15">
        <v>-1</v>
      </c>
      <c r="F2" s="15">
        <f>IF(A2="","",SUMIFS('Input Movement'!$F$2:$F$1000,'Input Movement'!$D$2:$D$1000,A2,'Input Movement'!$C$2:$C$1000,"Adjustment"))</f>
        <v>0</v>
      </c>
      <c r="G2" s="16">
        <f t="shared" ref="G2:G33" si="0">IF(A2="","",C2+D2+E2+F2)</f>
        <v>4</v>
      </c>
    </row>
    <row r="3" spans="1:7" x14ac:dyDescent="0.3">
      <c r="A3" s="14" t="str">
        <f>IF('Master Produk'!A3="","",'Master Produk'!A3)</f>
        <v>CC-001</v>
      </c>
      <c r="B3" s="14" t="str">
        <f>IF(A3="","",'Master Produk'!B3)</f>
        <v>Coco Drink</v>
      </c>
      <c r="C3" s="15">
        <f>IF(A3="","",'Master Produk'!C3)</f>
        <v>17</v>
      </c>
      <c r="D3" s="15">
        <f>IF(A3="","",SUMIFS('Input Movement'!$F$2:$F$1000,'Input Movement'!$D$2:$D$1000,A3,'Input Movement'!$C$2:$C$1000,"Stok masuk"))</f>
        <v>0</v>
      </c>
      <c r="E3" s="15">
        <f>IF(A3="","",SUMIFS('Input Movement'!$F$2:$F$1000,'Input Movement'!$D$2:$D$1000,A3,'Input Movement'!$C$2:$C$1000,"Stok keluar"))</f>
        <v>-1</v>
      </c>
      <c r="F3" s="15">
        <f>IF(A3="","",SUMIFS('Input Movement'!$F$2:$F$1000,'Input Movement'!$D$2:$D$1000,A3,'Input Movement'!$C$2:$C$1000,"Adjustment"))</f>
        <v>0</v>
      </c>
      <c r="G3" s="16">
        <f t="shared" si="0"/>
        <v>16</v>
      </c>
    </row>
    <row r="4" spans="1:7" x14ac:dyDescent="0.3">
      <c r="A4" s="14" t="str">
        <f>IF('Master Produk'!A4="","",'Master Produk'!A4)</f>
        <v/>
      </c>
      <c r="B4" s="14" t="str">
        <f>IF(A4="","",'Master Produk'!B4)</f>
        <v/>
      </c>
      <c r="C4" s="15" t="str">
        <f>IF(A4="","",'Master Produk'!C4)</f>
        <v/>
      </c>
      <c r="D4" s="15" t="str">
        <f>IF(A4="","",SUMIFS('Input Movement'!$F$2:$F$1000,'Input Movement'!$D$2:$D$1000,A4,'Input Movement'!$C$2:$C$1000,"Stok masuk"))</f>
        <v/>
      </c>
      <c r="E4" s="15" t="str">
        <f>IF(A4="","",SUMIFS('Input Movement'!$F$2:$F$1000,'Input Movement'!$D$2:$D$1000,A4,'Input Movement'!$C$2:$C$1000,"Stok keluar"))</f>
        <v/>
      </c>
      <c r="F4" s="15" t="str">
        <f>IF(A4="","",SUMIFS('Input Movement'!$F$2:$F$1000,'Input Movement'!$D$2:$D$1000,A4,'Input Movement'!$C$2:$C$1000,"Adjustment"))</f>
        <v/>
      </c>
      <c r="G4" s="16" t="str">
        <f t="shared" si="0"/>
        <v/>
      </c>
    </row>
    <row r="5" spans="1:7" x14ac:dyDescent="0.3">
      <c r="A5" s="14" t="str">
        <f>IF('Master Produk'!A5="","",'Master Produk'!A5)</f>
        <v/>
      </c>
      <c r="B5" s="14" t="str">
        <f>IF(A5="","",'Master Produk'!B5)</f>
        <v/>
      </c>
      <c r="C5" s="15" t="str">
        <f>IF(A5="","",'Master Produk'!C5)</f>
        <v/>
      </c>
      <c r="D5" s="15" t="str">
        <f>IF(A5="","",SUMIFS('Input Movement'!$F$2:$F$1000,'Input Movement'!$D$2:$D$1000,A5,'Input Movement'!$C$2:$C$1000,"Stok masuk"))</f>
        <v/>
      </c>
      <c r="E5" s="15" t="str">
        <f>IF(A5="","",SUMIFS('Input Movement'!$F$2:$F$1000,'Input Movement'!$D$2:$D$1000,A5,'Input Movement'!$C$2:$C$1000,"Stok keluar"))</f>
        <v/>
      </c>
      <c r="F5" s="15" t="str">
        <f>IF(A5="","",SUMIFS('Input Movement'!$F$2:$F$1000,'Input Movement'!$D$2:$D$1000,A5,'Input Movement'!$C$2:$C$1000,"Adjustment"))</f>
        <v/>
      </c>
      <c r="G5" s="16" t="str">
        <f t="shared" si="0"/>
        <v/>
      </c>
    </row>
    <row r="6" spans="1:7" x14ac:dyDescent="0.3">
      <c r="A6" s="14" t="str">
        <f>IF('Master Produk'!A6="","",'Master Produk'!A6)</f>
        <v/>
      </c>
      <c r="B6" s="14" t="str">
        <f>IF(A6="","",'Master Produk'!B6)</f>
        <v/>
      </c>
      <c r="C6" s="15" t="str">
        <f>IF(A6="","",'Master Produk'!C6)</f>
        <v/>
      </c>
      <c r="D6" s="15" t="str">
        <f>IF(A6="","",SUMIFS('Input Movement'!$F$2:$F$1000,'Input Movement'!$D$2:$D$1000,A6,'Input Movement'!$C$2:$C$1000,"Stok masuk"))</f>
        <v/>
      </c>
      <c r="E6" s="15" t="str">
        <f>IF(A6="","",SUMIFS('Input Movement'!$F$2:$F$1000,'Input Movement'!$D$2:$D$1000,A6,'Input Movement'!$C$2:$C$1000,"Stok keluar"))</f>
        <v/>
      </c>
      <c r="F6" s="15" t="str">
        <f>IF(A6="","",SUMIFS('Input Movement'!$F$2:$F$1000,'Input Movement'!$D$2:$D$1000,A6,'Input Movement'!$C$2:$C$1000,"Adjustment"))</f>
        <v/>
      </c>
      <c r="G6" s="16" t="str">
        <f t="shared" si="0"/>
        <v/>
      </c>
    </row>
    <row r="7" spans="1:7" x14ac:dyDescent="0.3">
      <c r="A7" s="14" t="str">
        <f>IF('Master Produk'!A7="","",'Master Produk'!A7)</f>
        <v/>
      </c>
      <c r="B7" s="14" t="str">
        <f>IF(A7="","",'Master Produk'!B7)</f>
        <v/>
      </c>
      <c r="C7" s="15" t="str">
        <f>IF(A7="","",'Master Produk'!C7)</f>
        <v/>
      </c>
      <c r="D7" s="15" t="str">
        <f>IF(A7="","",SUMIFS('Input Movement'!$F$2:$F$1000,'Input Movement'!$D$2:$D$1000,A7,'Input Movement'!$C$2:$C$1000,"Stok masuk"))</f>
        <v/>
      </c>
      <c r="E7" s="15" t="str">
        <f>IF(A7="","",SUMIFS('Input Movement'!$F$2:$F$1000,'Input Movement'!$D$2:$D$1000,A7,'Input Movement'!$C$2:$C$1000,"Stok keluar"))</f>
        <v/>
      </c>
      <c r="F7" s="15" t="str">
        <f>IF(A7="","",SUMIFS('Input Movement'!$F$2:$F$1000,'Input Movement'!$D$2:$D$1000,A7,'Input Movement'!$C$2:$C$1000,"Adjustment"))</f>
        <v/>
      </c>
      <c r="G7" s="16" t="str">
        <f t="shared" si="0"/>
        <v/>
      </c>
    </row>
    <row r="8" spans="1:7" x14ac:dyDescent="0.3">
      <c r="A8" s="14" t="str">
        <f>IF('Master Produk'!A8="","",'Master Produk'!A8)</f>
        <v/>
      </c>
      <c r="B8" s="14" t="str">
        <f>IF(A8="","",'Master Produk'!B8)</f>
        <v/>
      </c>
      <c r="C8" s="15" t="str">
        <f>IF(A8="","",'Master Produk'!C8)</f>
        <v/>
      </c>
      <c r="D8" s="15" t="str">
        <f>IF(A8="","",SUMIFS('Input Movement'!$F$2:$F$1000,'Input Movement'!$D$2:$D$1000,A8,'Input Movement'!$C$2:$C$1000,"Stok masuk"))</f>
        <v/>
      </c>
      <c r="E8" s="15" t="str">
        <f>IF(A8="","",SUMIFS('Input Movement'!$F$2:$F$1000,'Input Movement'!$D$2:$D$1000,A8,'Input Movement'!$C$2:$C$1000,"Stok keluar"))</f>
        <v/>
      </c>
      <c r="F8" s="15" t="str">
        <f>IF(A8="","",SUMIFS('Input Movement'!$F$2:$F$1000,'Input Movement'!$D$2:$D$1000,A8,'Input Movement'!$C$2:$C$1000,"Adjustment"))</f>
        <v/>
      </c>
      <c r="G8" s="16" t="str">
        <f t="shared" si="0"/>
        <v/>
      </c>
    </row>
    <row r="9" spans="1:7" x14ac:dyDescent="0.3">
      <c r="A9" s="14" t="str">
        <f>IF('Master Produk'!A9="","",'Master Produk'!A9)</f>
        <v/>
      </c>
      <c r="B9" s="14" t="str">
        <f>IF(A9="","",'Master Produk'!B9)</f>
        <v/>
      </c>
      <c r="C9" s="15" t="str">
        <f>IF(A9="","",'Master Produk'!C9)</f>
        <v/>
      </c>
      <c r="D9" s="15" t="str">
        <f>IF(A9="","",SUMIFS('Input Movement'!$F$2:$F$1000,'Input Movement'!$D$2:$D$1000,A9,'Input Movement'!$C$2:$C$1000,"Stok masuk"))</f>
        <v/>
      </c>
      <c r="E9" s="15" t="str">
        <f>IF(A9="","",SUMIFS('Input Movement'!$F$2:$F$1000,'Input Movement'!$D$2:$D$1000,A9,'Input Movement'!$C$2:$C$1000,"Stok keluar"))</f>
        <v/>
      </c>
      <c r="F9" s="15" t="str">
        <f>IF(A9="","",SUMIFS('Input Movement'!$F$2:$F$1000,'Input Movement'!$D$2:$D$1000,A9,'Input Movement'!$C$2:$C$1000,"Adjustment"))</f>
        <v/>
      </c>
      <c r="G9" s="16" t="str">
        <f t="shared" si="0"/>
        <v/>
      </c>
    </row>
    <row r="10" spans="1:7" x14ac:dyDescent="0.3">
      <c r="A10" s="14" t="str">
        <f>IF('Master Produk'!A10="","",'Master Produk'!A10)</f>
        <v/>
      </c>
      <c r="B10" s="14" t="str">
        <f>IF(A10="","",'Master Produk'!B10)</f>
        <v/>
      </c>
      <c r="C10" s="15" t="str">
        <f>IF(A10="","",'Master Produk'!C10)</f>
        <v/>
      </c>
      <c r="D10" s="15" t="str">
        <f>IF(A10="","",SUMIFS('Input Movement'!$F$2:$F$1000,'Input Movement'!$D$2:$D$1000,A10,'Input Movement'!$C$2:$C$1000,"Stok masuk"))</f>
        <v/>
      </c>
      <c r="E10" s="15" t="str">
        <f>IF(A10="","",SUMIFS('Input Movement'!$F$2:$F$1000,'Input Movement'!$D$2:$D$1000,A10,'Input Movement'!$C$2:$C$1000,"Stok keluar"))</f>
        <v/>
      </c>
      <c r="F10" s="15" t="str">
        <f>IF(A10="","",SUMIFS('Input Movement'!$F$2:$F$1000,'Input Movement'!$D$2:$D$1000,A10,'Input Movement'!$C$2:$C$1000,"Adjustment"))</f>
        <v/>
      </c>
      <c r="G10" s="16" t="str">
        <f t="shared" si="0"/>
        <v/>
      </c>
    </row>
    <row r="11" spans="1:7" x14ac:dyDescent="0.3">
      <c r="A11" s="14" t="str">
        <f>IF('Master Produk'!A11="","",'Master Produk'!A11)</f>
        <v/>
      </c>
      <c r="B11" s="14" t="str">
        <f>IF(A11="","",'Master Produk'!B11)</f>
        <v/>
      </c>
      <c r="C11" s="15" t="str">
        <f>IF(A11="","",'Master Produk'!C11)</f>
        <v/>
      </c>
      <c r="D11" s="15" t="str">
        <f>IF(A11="","",SUMIFS('Input Movement'!$F$2:$F$1000,'Input Movement'!$D$2:$D$1000,A11,'Input Movement'!$C$2:$C$1000,"Stok masuk"))</f>
        <v/>
      </c>
      <c r="E11" s="15" t="str">
        <f>IF(A11="","",SUMIFS('Input Movement'!$F$2:$F$1000,'Input Movement'!$D$2:$D$1000,A11,'Input Movement'!$C$2:$C$1000,"Stok keluar"))</f>
        <v/>
      </c>
      <c r="F11" s="15" t="str">
        <f>IF(A11="","",SUMIFS('Input Movement'!$F$2:$F$1000,'Input Movement'!$D$2:$D$1000,A11,'Input Movement'!$C$2:$C$1000,"Adjustment"))</f>
        <v/>
      </c>
      <c r="G11" s="16" t="str">
        <f t="shared" si="0"/>
        <v/>
      </c>
    </row>
    <row r="12" spans="1:7" x14ac:dyDescent="0.3">
      <c r="A12" s="14" t="str">
        <f>IF('Master Produk'!A12="","",'Master Produk'!A12)</f>
        <v/>
      </c>
      <c r="B12" s="14" t="str">
        <f>IF(A12="","",'Master Produk'!B12)</f>
        <v/>
      </c>
      <c r="C12" s="15" t="str">
        <f>IF(A12="","",'Master Produk'!C12)</f>
        <v/>
      </c>
      <c r="D12" s="15" t="str">
        <f>IF(A12="","",SUMIFS('Input Movement'!$F$2:$F$1000,'Input Movement'!$D$2:$D$1000,A12,'Input Movement'!$C$2:$C$1000,"Stok masuk"))</f>
        <v/>
      </c>
      <c r="E12" s="15" t="str">
        <f>IF(A12="","",SUMIFS('Input Movement'!$F$2:$F$1000,'Input Movement'!$D$2:$D$1000,A12,'Input Movement'!$C$2:$C$1000,"Stok keluar"))</f>
        <v/>
      </c>
      <c r="F12" s="15" t="str">
        <f>IF(A12="","",SUMIFS('Input Movement'!$F$2:$F$1000,'Input Movement'!$D$2:$D$1000,A12,'Input Movement'!$C$2:$C$1000,"Adjustment"))</f>
        <v/>
      </c>
      <c r="G12" s="16" t="str">
        <f t="shared" si="0"/>
        <v/>
      </c>
    </row>
    <row r="13" spans="1:7" x14ac:dyDescent="0.3">
      <c r="A13" s="14" t="str">
        <f>IF('Master Produk'!A13="","",'Master Produk'!A13)</f>
        <v/>
      </c>
      <c r="B13" s="14" t="str">
        <f>IF(A13="","",'Master Produk'!B13)</f>
        <v/>
      </c>
      <c r="C13" s="15" t="str">
        <f>IF(A13="","",'Master Produk'!C13)</f>
        <v/>
      </c>
      <c r="D13" s="15" t="str">
        <f>IF(A13="","",SUMIFS('Input Movement'!$F$2:$F$1000,'Input Movement'!$D$2:$D$1000,A13,'Input Movement'!$C$2:$C$1000,"Stok masuk"))</f>
        <v/>
      </c>
      <c r="E13" s="15" t="str">
        <f>IF(A13="","",SUMIFS('Input Movement'!$F$2:$F$1000,'Input Movement'!$D$2:$D$1000,A13,'Input Movement'!$C$2:$C$1000,"Stok keluar"))</f>
        <v/>
      </c>
      <c r="F13" s="15" t="str">
        <f>IF(A13="","",SUMIFS('Input Movement'!$F$2:$F$1000,'Input Movement'!$D$2:$D$1000,A13,'Input Movement'!$C$2:$C$1000,"Adjustment"))</f>
        <v/>
      </c>
      <c r="G13" s="16" t="str">
        <f t="shared" si="0"/>
        <v/>
      </c>
    </row>
    <row r="14" spans="1:7" x14ac:dyDescent="0.3">
      <c r="A14" s="14" t="str">
        <f>IF('Master Produk'!A14="","",'Master Produk'!A14)</f>
        <v/>
      </c>
      <c r="B14" s="14" t="str">
        <f>IF(A14="","",'Master Produk'!B14)</f>
        <v/>
      </c>
      <c r="C14" s="15" t="str">
        <f>IF(A14="","",'Master Produk'!C14)</f>
        <v/>
      </c>
      <c r="D14" s="15" t="str">
        <f>IF(A14="","",SUMIFS('Input Movement'!$F$2:$F$1000,'Input Movement'!$D$2:$D$1000,A14,'Input Movement'!$C$2:$C$1000,"Stok masuk"))</f>
        <v/>
      </c>
      <c r="E14" s="15" t="str">
        <f>IF(A14="","",SUMIFS('Input Movement'!$F$2:$F$1000,'Input Movement'!$D$2:$D$1000,A14,'Input Movement'!$C$2:$C$1000,"Stok keluar"))</f>
        <v/>
      </c>
      <c r="F14" s="15" t="str">
        <f>IF(A14="","",SUMIFS('Input Movement'!$F$2:$F$1000,'Input Movement'!$D$2:$D$1000,A14,'Input Movement'!$C$2:$C$1000,"Adjustment"))</f>
        <v/>
      </c>
      <c r="G14" s="16" t="str">
        <f t="shared" si="0"/>
        <v/>
      </c>
    </row>
    <row r="15" spans="1:7" x14ac:dyDescent="0.3">
      <c r="A15" s="14" t="str">
        <f>IF('Master Produk'!A15="","",'Master Produk'!A15)</f>
        <v/>
      </c>
      <c r="B15" s="14" t="str">
        <f>IF(A15="","",'Master Produk'!B15)</f>
        <v/>
      </c>
      <c r="C15" s="15" t="str">
        <f>IF(A15="","",'Master Produk'!C15)</f>
        <v/>
      </c>
      <c r="D15" s="15" t="str">
        <f>IF(A15="","",SUMIFS('Input Movement'!$F$2:$F$1000,'Input Movement'!$D$2:$D$1000,A15,'Input Movement'!$C$2:$C$1000,"Stok masuk"))</f>
        <v/>
      </c>
      <c r="E15" s="15" t="str">
        <f>IF(A15="","",SUMIFS('Input Movement'!$F$2:$F$1000,'Input Movement'!$D$2:$D$1000,A15,'Input Movement'!$C$2:$C$1000,"Stok keluar"))</f>
        <v/>
      </c>
      <c r="F15" s="15" t="str">
        <f>IF(A15="","",SUMIFS('Input Movement'!$F$2:$F$1000,'Input Movement'!$D$2:$D$1000,A15,'Input Movement'!$C$2:$C$1000,"Adjustment"))</f>
        <v/>
      </c>
      <c r="G15" s="16" t="str">
        <f t="shared" si="0"/>
        <v/>
      </c>
    </row>
    <row r="16" spans="1:7" x14ac:dyDescent="0.3">
      <c r="A16" s="14" t="str">
        <f>IF('Master Produk'!A16="","",'Master Produk'!A16)</f>
        <v/>
      </c>
      <c r="B16" s="14" t="str">
        <f>IF(A16="","",'Master Produk'!B16)</f>
        <v/>
      </c>
      <c r="C16" s="15" t="str">
        <f>IF(A16="","",'Master Produk'!C16)</f>
        <v/>
      </c>
      <c r="D16" s="15" t="str">
        <f>IF(A16="","",SUMIFS('Input Movement'!$F$2:$F$1000,'Input Movement'!$D$2:$D$1000,A16,'Input Movement'!$C$2:$C$1000,"Stok masuk"))</f>
        <v/>
      </c>
      <c r="E16" s="15" t="str">
        <f>IF(A16="","",SUMIFS('Input Movement'!$F$2:$F$1000,'Input Movement'!$D$2:$D$1000,A16,'Input Movement'!$C$2:$C$1000,"Stok keluar"))</f>
        <v/>
      </c>
      <c r="F16" s="15" t="str">
        <f>IF(A16="","",SUMIFS('Input Movement'!$F$2:$F$1000,'Input Movement'!$D$2:$D$1000,A16,'Input Movement'!$C$2:$C$1000,"Adjustment"))</f>
        <v/>
      </c>
      <c r="G16" s="16" t="str">
        <f t="shared" si="0"/>
        <v/>
      </c>
    </row>
    <row r="17" spans="1:7" x14ac:dyDescent="0.3">
      <c r="A17" s="14" t="str">
        <f>IF('Master Produk'!A17="","",'Master Produk'!A17)</f>
        <v/>
      </c>
      <c r="B17" s="14" t="str">
        <f>IF(A17="","",'Master Produk'!B17)</f>
        <v/>
      </c>
      <c r="C17" s="15" t="str">
        <f>IF(A17="","",'Master Produk'!C17)</f>
        <v/>
      </c>
      <c r="D17" s="15" t="str">
        <f>IF(A17="","",SUMIFS('Input Movement'!$F$2:$F$1000,'Input Movement'!$D$2:$D$1000,A17,'Input Movement'!$C$2:$C$1000,"Stok masuk"))</f>
        <v/>
      </c>
      <c r="E17" s="15" t="str">
        <f>IF(A17="","",SUMIFS('Input Movement'!$F$2:$F$1000,'Input Movement'!$D$2:$D$1000,A17,'Input Movement'!$C$2:$C$1000,"Stok keluar"))</f>
        <v/>
      </c>
      <c r="F17" s="15" t="str">
        <f>IF(A17="","",SUMIFS('Input Movement'!$F$2:$F$1000,'Input Movement'!$D$2:$D$1000,A17,'Input Movement'!$C$2:$C$1000,"Adjustment"))</f>
        <v/>
      </c>
      <c r="G17" s="16" t="str">
        <f t="shared" si="0"/>
        <v/>
      </c>
    </row>
    <row r="18" spans="1:7" x14ac:dyDescent="0.3">
      <c r="A18" s="14" t="str">
        <f>IF('Master Produk'!A18="","",'Master Produk'!A18)</f>
        <v/>
      </c>
      <c r="B18" s="14" t="str">
        <f>IF(A18="","",'Master Produk'!B18)</f>
        <v/>
      </c>
      <c r="C18" s="15" t="str">
        <f>IF(A18="","",'Master Produk'!C18)</f>
        <v/>
      </c>
      <c r="D18" s="15" t="str">
        <f>IF(A18="","",SUMIFS('Input Movement'!$F$2:$F$1000,'Input Movement'!$D$2:$D$1000,A18,'Input Movement'!$C$2:$C$1000,"Stok masuk"))</f>
        <v/>
      </c>
      <c r="E18" s="15" t="str">
        <f>IF(A18="","",SUMIFS('Input Movement'!$F$2:$F$1000,'Input Movement'!$D$2:$D$1000,A18,'Input Movement'!$C$2:$C$1000,"Stok keluar"))</f>
        <v/>
      </c>
      <c r="F18" s="15" t="str">
        <f>IF(A18="","",SUMIFS('Input Movement'!$F$2:$F$1000,'Input Movement'!$D$2:$D$1000,A18,'Input Movement'!$C$2:$C$1000,"Adjustment"))</f>
        <v/>
      </c>
      <c r="G18" s="16" t="str">
        <f t="shared" si="0"/>
        <v/>
      </c>
    </row>
    <row r="19" spans="1:7" x14ac:dyDescent="0.3">
      <c r="A19" s="14" t="str">
        <f>IF('Master Produk'!A19="","",'Master Produk'!A19)</f>
        <v/>
      </c>
      <c r="B19" s="14" t="str">
        <f>IF(A19="","",'Master Produk'!B19)</f>
        <v/>
      </c>
      <c r="C19" s="15" t="str">
        <f>IF(A19="","",'Master Produk'!C19)</f>
        <v/>
      </c>
      <c r="D19" s="15" t="str">
        <f>IF(A19="","",SUMIFS('Input Movement'!$F$2:$F$1000,'Input Movement'!$D$2:$D$1000,A19,'Input Movement'!$C$2:$C$1000,"Stok masuk"))</f>
        <v/>
      </c>
      <c r="E19" s="15" t="str">
        <f>IF(A19="","",SUMIFS('Input Movement'!$F$2:$F$1000,'Input Movement'!$D$2:$D$1000,A19,'Input Movement'!$C$2:$C$1000,"Stok keluar"))</f>
        <v/>
      </c>
      <c r="F19" s="15" t="str">
        <f>IF(A19="","",SUMIFS('Input Movement'!$F$2:$F$1000,'Input Movement'!$D$2:$D$1000,A19,'Input Movement'!$C$2:$C$1000,"Adjustment"))</f>
        <v/>
      </c>
      <c r="G19" s="16" t="str">
        <f t="shared" si="0"/>
        <v/>
      </c>
    </row>
    <row r="20" spans="1:7" x14ac:dyDescent="0.3">
      <c r="A20" s="14" t="str">
        <f>IF('Master Produk'!A20="","",'Master Produk'!A20)</f>
        <v/>
      </c>
      <c r="B20" s="14" t="str">
        <f>IF(A20="","",'Master Produk'!B20)</f>
        <v/>
      </c>
      <c r="C20" s="15" t="str">
        <f>IF(A20="","",'Master Produk'!C20)</f>
        <v/>
      </c>
      <c r="D20" s="15" t="str">
        <f>IF(A20="","",SUMIFS('Input Movement'!$F$2:$F$1000,'Input Movement'!$D$2:$D$1000,A20,'Input Movement'!$C$2:$C$1000,"Stok masuk"))</f>
        <v/>
      </c>
      <c r="E20" s="15" t="str">
        <f>IF(A20="","",SUMIFS('Input Movement'!$F$2:$F$1000,'Input Movement'!$D$2:$D$1000,A20,'Input Movement'!$C$2:$C$1000,"Stok keluar"))</f>
        <v/>
      </c>
      <c r="F20" s="15" t="str">
        <f>IF(A20="","",SUMIFS('Input Movement'!$F$2:$F$1000,'Input Movement'!$D$2:$D$1000,A20,'Input Movement'!$C$2:$C$1000,"Adjustment"))</f>
        <v/>
      </c>
      <c r="G20" s="16" t="str">
        <f t="shared" si="0"/>
        <v/>
      </c>
    </row>
    <row r="21" spans="1:7" x14ac:dyDescent="0.3">
      <c r="A21" s="14" t="str">
        <f>IF('Master Produk'!A21="","",'Master Produk'!A21)</f>
        <v/>
      </c>
      <c r="B21" s="14" t="str">
        <f>IF(A21="","",'Master Produk'!B21)</f>
        <v/>
      </c>
      <c r="C21" s="15" t="str">
        <f>IF(A21="","",'Master Produk'!C21)</f>
        <v/>
      </c>
      <c r="D21" s="15" t="str">
        <f>IF(A21="","",SUMIFS('Input Movement'!$F$2:$F$1000,'Input Movement'!$D$2:$D$1000,A21,'Input Movement'!$C$2:$C$1000,"Stok masuk"))</f>
        <v/>
      </c>
      <c r="E21" s="15" t="str">
        <f>IF(A21="","",SUMIFS('Input Movement'!$F$2:$F$1000,'Input Movement'!$D$2:$D$1000,A21,'Input Movement'!$C$2:$C$1000,"Stok keluar"))</f>
        <v/>
      </c>
      <c r="F21" s="15" t="str">
        <f>IF(A21="","",SUMIFS('Input Movement'!$F$2:$F$1000,'Input Movement'!$D$2:$D$1000,A21,'Input Movement'!$C$2:$C$1000,"Adjustment"))</f>
        <v/>
      </c>
      <c r="G21" s="16" t="str">
        <f t="shared" si="0"/>
        <v/>
      </c>
    </row>
    <row r="22" spans="1:7" x14ac:dyDescent="0.3">
      <c r="A22" s="14" t="str">
        <f>IF('Master Produk'!A22="","",'Master Produk'!A22)</f>
        <v/>
      </c>
      <c r="B22" s="14" t="str">
        <f>IF(A22="","",'Master Produk'!B22)</f>
        <v/>
      </c>
      <c r="C22" s="15" t="str">
        <f>IF(A22="","",'Master Produk'!C22)</f>
        <v/>
      </c>
      <c r="D22" s="15" t="str">
        <f>IF(A22="","",SUMIFS('Input Movement'!$F$2:$F$1000,'Input Movement'!$D$2:$D$1000,A22,'Input Movement'!$C$2:$C$1000,"Stok masuk"))</f>
        <v/>
      </c>
      <c r="E22" s="15" t="str">
        <f>IF(A22="","",SUMIFS('Input Movement'!$F$2:$F$1000,'Input Movement'!$D$2:$D$1000,A22,'Input Movement'!$C$2:$C$1000,"Stok keluar"))</f>
        <v/>
      </c>
      <c r="F22" s="15" t="str">
        <f>IF(A22="","",SUMIFS('Input Movement'!$F$2:$F$1000,'Input Movement'!$D$2:$D$1000,A22,'Input Movement'!$C$2:$C$1000,"Adjustment"))</f>
        <v/>
      </c>
      <c r="G22" s="16" t="str">
        <f t="shared" si="0"/>
        <v/>
      </c>
    </row>
    <row r="23" spans="1:7" x14ac:dyDescent="0.3">
      <c r="A23" s="14" t="str">
        <f>IF('Master Produk'!A23="","",'Master Produk'!A23)</f>
        <v/>
      </c>
      <c r="B23" s="14" t="str">
        <f>IF(A23="","",'Master Produk'!B23)</f>
        <v/>
      </c>
      <c r="C23" s="15" t="str">
        <f>IF(A23="","",'Master Produk'!C23)</f>
        <v/>
      </c>
      <c r="D23" s="15" t="str">
        <f>IF(A23="","",SUMIFS('Input Movement'!$F$2:$F$1000,'Input Movement'!$D$2:$D$1000,A23,'Input Movement'!$C$2:$C$1000,"Stok masuk"))</f>
        <v/>
      </c>
      <c r="E23" s="15" t="str">
        <f>IF(A23="","",SUMIFS('Input Movement'!$F$2:$F$1000,'Input Movement'!$D$2:$D$1000,A23,'Input Movement'!$C$2:$C$1000,"Stok keluar"))</f>
        <v/>
      </c>
      <c r="F23" s="15" t="str">
        <f>IF(A23="","",SUMIFS('Input Movement'!$F$2:$F$1000,'Input Movement'!$D$2:$D$1000,A23,'Input Movement'!$C$2:$C$1000,"Adjustment"))</f>
        <v/>
      </c>
      <c r="G23" s="16" t="str">
        <f t="shared" si="0"/>
        <v/>
      </c>
    </row>
    <row r="24" spans="1:7" x14ac:dyDescent="0.3">
      <c r="A24" s="14" t="str">
        <f>IF('Master Produk'!A24="","",'Master Produk'!A24)</f>
        <v/>
      </c>
      <c r="B24" s="14" t="str">
        <f>IF(A24="","",'Master Produk'!B24)</f>
        <v/>
      </c>
      <c r="C24" s="15" t="str">
        <f>IF(A24="","",'Master Produk'!C24)</f>
        <v/>
      </c>
      <c r="D24" s="15" t="str">
        <f>IF(A24="","",SUMIFS('Input Movement'!$F$2:$F$1000,'Input Movement'!$D$2:$D$1000,A24,'Input Movement'!$C$2:$C$1000,"Stok masuk"))</f>
        <v/>
      </c>
      <c r="E24" s="15" t="str">
        <f>IF(A24="","",SUMIFS('Input Movement'!$F$2:$F$1000,'Input Movement'!$D$2:$D$1000,A24,'Input Movement'!$C$2:$C$1000,"Stok keluar"))</f>
        <v/>
      </c>
      <c r="F24" s="15" t="str">
        <f>IF(A24="","",SUMIFS('Input Movement'!$F$2:$F$1000,'Input Movement'!$D$2:$D$1000,A24,'Input Movement'!$C$2:$C$1000,"Adjustment"))</f>
        <v/>
      </c>
      <c r="G24" s="16" t="str">
        <f t="shared" si="0"/>
        <v/>
      </c>
    </row>
    <row r="25" spans="1:7" x14ac:dyDescent="0.3">
      <c r="A25" s="14" t="str">
        <f>IF('Master Produk'!A25="","",'Master Produk'!A25)</f>
        <v/>
      </c>
      <c r="B25" s="14" t="str">
        <f>IF(A25="","",'Master Produk'!B25)</f>
        <v/>
      </c>
      <c r="C25" s="15" t="str">
        <f>IF(A25="","",'Master Produk'!C25)</f>
        <v/>
      </c>
      <c r="D25" s="15" t="str">
        <f>IF(A25="","",SUMIFS('Input Movement'!$F$2:$F$1000,'Input Movement'!$D$2:$D$1000,A25,'Input Movement'!$C$2:$C$1000,"Stok masuk"))</f>
        <v/>
      </c>
      <c r="E25" s="15" t="str">
        <f>IF(A25="","",SUMIFS('Input Movement'!$F$2:$F$1000,'Input Movement'!$D$2:$D$1000,A25,'Input Movement'!$C$2:$C$1000,"Stok keluar"))</f>
        <v/>
      </c>
      <c r="F25" s="15" t="str">
        <f>IF(A25="","",SUMIFS('Input Movement'!$F$2:$F$1000,'Input Movement'!$D$2:$D$1000,A25,'Input Movement'!$C$2:$C$1000,"Adjustment"))</f>
        <v/>
      </c>
      <c r="G25" s="16" t="str">
        <f t="shared" si="0"/>
        <v/>
      </c>
    </row>
    <row r="26" spans="1:7" x14ac:dyDescent="0.3">
      <c r="A26" s="14" t="str">
        <f>IF('Master Produk'!A26="","",'Master Produk'!A26)</f>
        <v/>
      </c>
      <c r="B26" s="14" t="str">
        <f>IF(A26="","",'Master Produk'!B26)</f>
        <v/>
      </c>
      <c r="C26" s="15" t="str">
        <f>IF(A26="","",'Master Produk'!C26)</f>
        <v/>
      </c>
      <c r="D26" s="15" t="str">
        <f>IF(A26="","",SUMIFS('Input Movement'!$F$2:$F$1000,'Input Movement'!$D$2:$D$1000,A26,'Input Movement'!$C$2:$C$1000,"Stok masuk"))</f>
        <v/>
      </c>
      <c r="E26" s="15" t="str">
        <f>IF(A26="","",SUMIFS('Input Movement'!$F$2:$F$1000,'Input Movement'!$D$2:$D$1000,A26,'Input Movement'!$C$2:$C$1000,"Stok keluar"))</f>
        <v/>
      </c>
      <c r="F26" s="15" t="str">
        <f>IF(A26="","",SUMIFS('Input Movement'!$F$2:$F$1000,'Input Movement'!$D$2:$D$1000,A26,'Input Movement'!$C$2:$C$1000,"Adjustment"))</f>
        <v/>
      </c>
      <c r="G26" s="16" t="str">
        <f t="shared" si="0"/>
        <v/>
      </c>
    </row>
    <row r="27" spans="1:7" x14ac:dyDescent="0.3">
      <c r="A27" s="14" t="str">
        <f>IF('Master Produk'!A27="","",'Master Produk'!A27)</f>
        <v/>
      </c>
      <c r="B27" s="14" t="str">
        <f>IF(A27="","",'Master Produk'!B27)</f>
        <v/>
      </c>
      <c r="C27" s="15" t="str">
        <f>IF(A27="","",'Master Produk'!C27)</f>
        <v/>
      </c>
      <c r="D27" s="15" t="str">
        <f>IF(A27="","",SUMIFS('Input Movement'!$F$2:$F$1000,'Input Movement'!$D$2:$D$1000,A27,'Input Movement'!$C$2:$C$1000,"Stok masuk"))</f>
        <v/>
      </c>
      <c r="E27" s="15" t="str">
        <f>IF(A27="","",SUMIFS('Input Movement'!$F$2:$F$1000,'Input Movement'!$D$2:$D$1000,A27,'Input Movement'!$C$2:$C$1000,"Stok keluar"))</f>
        <v/>
      </c>
      <c r="F27" s="15" t="str">
        <f>IF(A27="","",SUMIFS('Input Movement'!$F$2:$F$1000,'Input Movement'!$D$2:$D$1000,A27,'Input Movement'!$C$2:$C$1000,"Adjustment"))</f>
        <v/>
      </c>
      <c r="G27" s="16" t="str">
        <f t="shared" si="0"/>
        <v/>
      </c>
    </row>
    <row r="28" spans="1:7" x14ac:dyDescent="0.3">
      <c r="A28" s="14" t="str">
        <f>IF('Master Produk'!A28="","",'Master Produk'!A28)</f>
        <v/>
      </c>
      <c r="B28" s="14" t="str">
        <f>IF(A28="","",'Master Produk'!B28)</f>
        <v/>
      </c>
      <c r="C28" s="15" t="str">
        <f>IF(A28="","",'Master Produk'!C28)</f>
        <v/>
      </c>
      <c r="D28" s="15" t="str">
        <f>IF(A28="","",SUMIFS('Input Movement'!$F$2:$F$1000,'Input Movement'!$D$2:$D$1000,A28,'Input Movement'!$C$2:$C$1000,"Stok masuk"))</f>
        <v/>
      </c>
      <c r="E28" s="15" t="str">
        <f>IF(A28="","",SUMIFS('Input Movement'!$F$2:$F$1000,'Input Movement'!$D$2:$D$1000,A28,'Input Movement'!$C$2:$C$1000,"Stok keluar"))</f>
        <v/>
      </c>
      <c r="F28" s="15" t="str">
        <f>IF(A28="","",SUMIFS('Input Movement'!$F$2:$F$1000,'Input Movement'!$D$2:$D$1000,A28,'Input Movement'!$C$2:$C$1000,"Adjustment"))</f>
        <v/>
      </c>
      <c r="G28" s="16" t="str">
        <f t="shared" si="0"/>
        <v/>
      </c>
    </row>
    <row r="29" spans="1:7" x14ac:dyDescent="0.3">
      <c r="A29" s="14" t="str">
        <f>IF('Master Produk'!A29="","",'Master Produk'!A29)</f>
        <v/>
      </c>
      <c r="B29" s="14" t="str">
        <f>IF(A29="","",'Master Produk'!B29)</f>
        <v/>
      </c>
      <c r="C29" s="15" t="str">
        <f>IF(A29="","",'Master Produk'!C29)</f>
        <v/>
      </c>
      <c r="D29" s="15" t="str">
        <f>IF(A29="","",SUMIFS('Input Movement'!$F$2:$F$1000,'Input Movement'!$D$2:$D$1000,A29,'Input Movement'!$C$2:$C$1000,"Stok masuk"))</f>
        <v/>
      </c>
      <c r="E29" s="15" t="str">
        <f>IF(A29="","",SUMIFS('Input Movement'!$F$2:$F$1000,'Input Movement'!$D$2:$D$1000,A29,'Input Movement'!$C$2:$C$1000,"Stok keluar"))</f>
        <v/>
      </c>
      <c r="F29" s="15" t="str">
        <f>IF(A29="","",SUMIFS('Input Movement'!$F$2:$F$1000,'Input Movement'!$D$2:$D$1000,A29,'Input Movement'!$C$2:$C$1000,"Adjustment"))</f>
        <v/>
      </c>
      <c r="G29" s="16" t="str">
        <f t="shared" si="0"/>
        <v/>
      </c>
    </row>
    <row r="30" spans="1:7" x14ac:dyDescent="0.3">
      <c r="A30" s="14" t="str">
        <f>IF('Master Produk'!A30="","",'Master Produk'!A30)</f>
        <v/>
      </c>
      <c r="B30" s="14" t="str">
        <f>IF(A30="","",'Master Produk'!B30)</f>
        <v/>
      </c>
      <c r="C30" s="15" t="str">
        <f>IF(A30="","",'Master Produk'!C30)</f>
        <v/>
      </c>
      <c r="D30" s="15" t="str">
        <f>IF(A30="","",SUMIFS('Input Movement'!$F$2:$F$1000,'Input Movement'!$D$2:$D$1000,A30,'Input Movement'!$C$2:$C$1000,"Stok masuk"))</f>
        <v/>
      </c>
      <c r="E30" s="15" t="str">
        <f>IF(A30="","",SUMIFS('Input Movement'!$F$2:$F$1000,'Input Movement'!$D$2:$D$1000,A30,'Input Movement'!$C$2:$C$1000,"Stok keluar"))</f>
        <v/>
      </c>
      <c r="F30" s="15" t="str">
        <f>IF(A30="","",SUMIFS('Input Movement'!$F$2:$F$1000,'Input Movement'!$D$2:$D$1000,A30,'Input Movement'!$C$2:$C$1000,"Adjustment"))</f>
        <v/>
      </c>
      <c r="G30" s="16" t="str">
        <f t="shared" si="0"/>
        <v/>
      </c>
    </row>
    <row r="31" spans="1:7" x14ac:dyDescent="0.3">
      <c r="A31" s="14" t="str">
        <f>IF('Master Produk'!A31="","",'Master Produk'!A31)</f>
        <v/>
      </c>
      <c r="B31" s="14" t="str">
        <f>IF(A31="","",'Master Produk'!B31)</f>
        <v/>
      </c>
      <c r="C31" s="15" t="str">
        <f>IF(A31="","",'Master Produk'!C31)</f>
        <v/>
      </c>
      <c r="D31" s="15" t="str">
        <f>IF(A31="","",SUMIFS('Input Movement'!$F$2:$F$1000,'Input Movement'!$D$2:$D$1000,A31,'Input Movement'!$C$2:$C$1000,"Stok masuk"))</f>
        <v/>
      </c>
      <c r="E31" s="15" t="str">
        <f>IF(A31="","",SUMIFS('Input Movement'!$F$2:$F$1000,'Input Movement'!$D$2:$D$1000,A31,'Input Movement'!$C$2:$C$1000,"Stok keluar"))</f>
        <v/>
      </c>
      <c r="F31" s="15" t="str">
        <f>IF(A31="","",SUMIFS('Input Movement'!$F$2:$F$1000,'Input Movement'!$D$2:$D$1000,A31,'Input Movement'!$C$2:$C$1000,"Adjustment"))</f>
        <v/>
      </c>
      <c r="G31" s="16" t="str">
        <f t="shared" si="0"/>
        <v/>
      </c>
    </row>
    <row r="32" spans="1:7" x14ac:dyDescent="0.3">
      <c r="A32" s="14" t="str">
        <f>IF('Master Produk'!A32="","",'Master Produk'!A32)</f>
        <v/>
      </c>
      <c r="B32" s="14" t="str">
        <f>IF(A32="","",'Master Produk'!B32)</f>
        <v/>
      </c>
      <c r="C32" s="15" t="str">
        <f>IF(A32="","",'Master Produk'!C32)</f>
        <v/>
      </c>
      <c r="D32" s="15" t="str">
        <f>IF(A32="","",SUMIFS('Input Movement'!$F$2:$F$1000,'Input Movement'!$D$2:$D$1000,A32,'Input Movement'!$C$2:$C$1000,"Stok masuk"))</f>
        <v/>
      </c>
      <c r="E32" s="15" t="str">
        <f>IF(A32="","",SUMIFS('Input Movement'!$F$2:$F$1000,'Input Movement'!$D$2:$D$1000,A32,'Input Movement'!$C$2:$C$1000,"Stok keluar"))</f>
        <v/>
      </c>
      <c r="F32" s="15" t="str">
        <f>IF(A32="","",SUMIFS('Input Movement'!$F$2:$F$1000,'Input Movement'!$D$2:$D$1000,A32,'Input Movement'!$C$2:$C$1000,"Adjustment"))</f>
        <v/>
      </c>
      <c r="G32" s="16" t="str">
        <f t="shared" si="0"/>
        <v/>
      </c>
    </row>
    <row r="33" spans="1:7" x14ac:dyDescent="0.3">
      <c r="A33" s="14" t="str">
        <f>IF('Master Produk'!A33="","",'Master Produk'!A33)</f>
        <v/>
      </c>
      <c r="B33" s="14" t="str">
        <f>IF(A33="","",'Master Produk'!B33)</f>
        <v/>
      </c>
      <c r="C33" s="15" t="str">
        <f>IF(A33="","",'Master Produk'!C33)</f>
        <v/>
      </c>
      <c r="D33" s="15" t="str">
        <f>IF(A33="","",SUMIFS('Input Movement'!$F$2:$F$1000,'Input Movement'!$D$2:$D$1000,A33,'Input Movement'!$C$2:$C$1000,"Stok masuk"))</f>
        <v/>
      </c>
      <c r="E33" s="15" t="str">
        <f>IF(A33="","",SUMIFS('Input Movement'!$F$2:$F$1000,'Input Movement'!$D$2:$D$1000,A33,'Input Movement'!$C$2:$C$1000,"Stok keluar"))</f>
        <v/>
      </c>
      <c r="F33" s="15" t="str">
        <f>IF(A33="","",SUMIFS('Input Movement'!$F$2:$F$1000,'Input Movement'!$D$2:$D$1000,A33,'Input Movement'!$C$2:$C$1000,"Adjustment"))</f>
        <v/>
      </c>
      <c r="G33" s="16" t="str">
        <f t="shared" si="0"/>
        <v/>
      </c>
    </row>
    <row r="34" spans="1:7" x14ac:dyDescent="0.3">
      <c r="A34" s="14" t="str">
        <f>IF('Master Produk'!A34="","",'Master Produk'!A34)</f>
        <v/>
      </c>
      <c r="B34" s="14" t="str">
        <f>IF(A34="","",'Master Produk'!B34)</f>
        <v/>
      </c>
      <c r="C34" s="15" t="str">
        <f>IF(A34="","",'Master Produk'!C34)</f>
        <v/>
      </c>
      <c r="D34" s="15" t="str">
        <f>IF(A34="","",SUMIFS('Input Movement'!$F$2:$F$1000,'Input Movement'!$D$2:$D$1000,A34,'Input Movement'!$C$2:$C$1000,"Stok masuk"))</f>
        <v/>
      </c>
      <c r="E34" s="15" t="str">
        <f>IF(A34="","",SUMIFS('Input Movement'!$F$2:$F$1000,'Input Movement'!$D$2:$D$1000,A34,'Input Movement'!$C$2:$C$1000,"Stok keluar"))</f>
        <v/>
      </c>
      <c r="F34" s="15" t="str">
        <f>IF(A34="","",SUMIFS('Input Movement'!$F$2:$F$1000,'Input Movement'!$D$2:$D$1000,A34,'Input Movement'!$C$2:$C$1000,"Adjustment"))</f>
        <v/>
      </c>
      <c r="G34" s="16" t="str">
        <f t="shared" ref="G34:G65" si="1">IF(A34="","",C34+D34+E34+F34)</f>
        <v/>
      </c>
    </row>
    <row r="35" spans="1:7" x14ac:dyDescent="0.3">
      <c r="A35" s="14" t="str">
        <f>IF('Master Produk'!A35="","",'Master Produk'!A35)</f>
        <v/>
      </c>
      <c r="B35" s="14" t="str">
        <f>IF(A35="","",'Master Produk'!B35)</f>
        <v/>
      </c>
      <c r="C35" s="15" t="str">
        <f>IF(A35="","",'Master Produk'!C35)</f>
        <v/>
      </c>
      <c r="D35" s="15" t="str">
        <f>IF(A35="","",SUMIFS('Input Movement'!$F$2:$F$1000,'Input Movement'!$D$2:$D$1000,A35,'Input Movement'!$C$2:$C$1000,"Stok masuk"))</f>
        <v/>
      </c>
      <c r="E35" s="15" t="str">
        <f>IF(A35="","",SUMIFS('Input Movement'!$F$2:$F$1000,'Input Movement'!$D$2:$D$1000,A35,'Input Movement'!$C$2:$C$1000,"Stok keluar"))</f>
        <v/>
      </c>
      <c r="F35" s="15" t="str">
        <f>IF(A35="","",SUMIFS('Input Movement'!$F$2:$F$1000,'Input Movement'!$D$2:$D$1000,A35,'Input Movement'!$C$2:$C$1000,"Adjustment"))</f>
        <v/>
      </c>
      <c r="G35" s="16" t="str">
        <f t="shared" si="1"/>
        <v/>
      </c>
    </row>
    <row r="36" spans="1:7" x14ac:dyDescent="0.3">
      <c r="A36" s="14" t="str">
        <f>IF('Master Produk'!A36="","",'Master Produk'!A36)</f>
        <v/>
      </c>
      <c r="B36" s="14" t="str">
        <f>IF(A36="","",'Master Produk'!B36)</f>
        <v/>
      </c>
      <c r="C36" s="15" t="str">
        <f>IF(A36="","",'Master Produk'!C36)</f>
        <v/>
      </c>
      <c r="D36" s="15" t="str">
        <f>IF(A36="","",SUMIFS('Input Movement'!$F$2:$F$1000,'Input Movement'!$D$2:$D$1000,A36,'Input Movement'!$C$2:$C$1000,"Stok masuk"))</f>
        <v/>
      </c>
      <c r="E36" s="15" t="str">
        <f>IF(A36="","",SUMIFS('Input Movement'!$F$2:$F$1000,'Input Movement'!$D$2:$D$1000,A36,'Input Movement'!$C$2:$C$1000,"Stok keluar"))</f>
        <v/>
      </c>
      <c r="F36" s="15" t="str">
        <f>IF(A36="","",SUMIFS('Input Movement'!$F$2:$F$1000,'Input Movement'!$D$2:$D$1000,A36,'Input Movement'!$C$2:$C$1000,"Adjustment"))</f>
        <v/>
      </c>
      <c r="G36" s="16" t="str">
        <f t="shared" si="1"/>
        <v/>
      </c>
    </row>
    <row r="37" spans="1:7" x14ac:dyDescent="0.3">
      <c r="A37" s="14" t="str">
        <f>IF('Master Produk'!A37="","",'Master Produk'!A37)</f>
        <v/>
      </c>
      <c r="B37" s="14" t="str">
        <f>IF(A37="","",'Master Produk'!B37)</f>
        <v/>
      </c>
      <c r="C37" s="15" t="str">
        <f>IF(A37="","",'Master Produk'!C37)</f>
        <v/>
      </c>
      <c r="D37" s="15" t="str">
        <f>IF(A37="","",SUMIFS('Input Movement'!$F$2:$F$1000,'Input Movement'!$D$2:$D$1000,A37,'Input Movement'!$C$2:$C$1000,"Stok masuk"))</f>
        <v/>
      </c>
      <c r="E37" s="15" t="str">
        <f>IF(A37="","",SUMIFS('Input Movement'!$F$2:$F$1000,'Input Movement'!$D$2:$D$1000,A37,'Input Movement'!$C$2:$C$1000,"Stok keluar"))</f>
        <v/>
      </c>
      <c r="F37" s="15" t="str">
        <f>IF(A37="","",SUMIFS('Input Movement'!$F$2:$F$1000,'Input Movement'!$D$2:$D$1000,A37,'Input Movement'!$C$2:$C$1000,"Adjustment"))</f>
        <v/>
      </c>
      <c r="G37" s="16" t="str">
        <f t="shared" si="1"/>
        <v/>
      </c>
    </row>
    <row r="38" spans="1:7" x14ac:dyDescent="0.3">
      <c r="A38" s="14" t="str">
        <f>IF('Master Produk'!A38="","",'Master Produk'!A38)</f>
        <v/>
      </c>
      <c r="B38" s="14" t="str">
        <f>IF(A38="","",'Master Produk'!B38)</f>
        <v/>
      </c>
      <c r="C38" s="15" t="str">
        <f>IF(A38="","",'Master Produk'!C38)</f>
        <v/>
      </c>
      <c r="D38" s="15" t="str">
        <f>IF(A38="","",SUMIFS('Input Movement'!$F$2:$F$1000,'Input Movement'!$D$2:$D$1000,A38,'Input Movement'!$C$2:$C$1000,"Stok masuk"))</f>
        <v/>
      </c>
      <c r="E38" s="15" t="str">
        <f>IF(A38="","",SUMIFS('Input Movement'!$F$2:$F$1000,'Input Movement'!$D$2:$D$1000,A38,'Input Movement'!$C$2:$C$1000,"Stok keluar"))</f>
        <v/>
      </c>
      <c r="F38" s="15" t="str">
        <f>IF(A38="","",SUMIFS('Input Movement'!$F$2:$F$1000,'Input Movement'!$D$2:$D$1000,A38,'Input Movement'!$C$2:$C$1000,"Adjustment"))</f>
        <v/>
      </c>
      <c r="G38" s="16" t="str">
        <f t="shared" si="1"/>
        <v/>
      </c>
    </row>
    <row r="39" spans="1:7" x14ac:dyDescent="0.3">
      <c r="A39" s="14" t="str">
        <f>IF('Master Produk'!A39="","",'Master Produk'!A39)</f>
        <v/>
      </c>
      <c r="B39" s="14" t="str">
        <f>IF(A39="","",'Master Produk'!B39)</f>
        <v/>
      </c>
      <c r="C39" s="15" t="str">
        <f>IF(A39="","",'Master Produk'!C39)</f>
        <v/>
      </c>
      <c r="D39" s="15" t="str">
        <f>IF(A39="","",SUMIFS('Input Movement'!$F$2:$F$1000,'Input Movement'!$D$2:$D$1000,A39,'Input Movement'!$C$2:$C$1000,"Stok masuk"))</f>
        <v/>
      </c>
      <c r="E39" s="15" t="str">
        <f>IF(A39="","",SUMIFS('Input Movement'!$F$2:$F$1000,'Input Movement'!$D$2:$D$1000,A39,'Input Movement'!$C$2:$C$1000,"Stok keluar"))</f>
        <v/>
      </c>
      <c r="F39" s="15" t="str">
        <f>IF(A39="","",SUMIFS('Input Movement'!$F$2:$F$1000,'Input Movement'!$D$2:$D$1000,A39,'Input Movement'!$C$2:$C$1000,"Adjustment"))</f>
        <v/>
      </c>
      <c r="G39" s="16" t="str">
        <f t="shared" si="1"/>
        <v/>
      </c>
    </row>
    <row r="40" spans="1:7" x14ac:dyDescent="0.3">
      <c r="A40" s="14" t="str">
        <f>IF('Master Produk'!A40="","",'Master Produk'!A40)</f>
        <v/>
      </c>
      <c r="B40" s="14" t="str">
        <f>IF(A40="","",'Master Produk'!B40)</f>
        <v/>
      </c>
      <c r="C40" s="15" t="str">
        <f>IF(A40="","",'Master Produk'!C40)</f>
        <v/>
      </c>
      <c r="D40" s="15" t="str">
        <f>IF(A40="","",SUMIFS('Input Movement'!$F$2:$F$1000,'Input Movement'!$D$2:$D$1000,A40,'Input Movement'!$C$2:$C$1000,"Stok masuk"))</f>
        <v/>
      </c>
      <c r="E40" s="15" t="str">
        <f>IF(A40="","",SUMIFS('Input Movement'!$F$2:$F$1000,'Input Movement'!$D$2:$D$1000,A40,'Input Movement'!$C$2:$C$1000,"Stok keluar"))</f>
        <v/>
      </c>
      <c r="F40" s="15" t="str">
        <f>IF(A40="","",SUMIFS('Input Movement'!$F$2:$F$1000,'Input Movement'!$D$2:$D$1000,A40,'Input Movement'!$C$2:$C$1000,"Adjustment"))</f>
        <v/>
      </c>
      <c r="G40" s="16" t="str">
        <f t="shared" si="1"/>
        <v/>
      </c>
    </row>
    <row r="41" spans="1:7" x14ac:dyDescent="0.3">
      <c r="A41" s="14" t="str">
        <f>IF('Master Produk'!A41="","",'Master Produk'!A41)</f>
        <v/>
      </c>
      <c r="B41" s="14" t="str">
        <f>IF(A41="","",'Master Produk'!B41)</f>
        <v/>
      </c>
      <c r="C41" s="15" t="str">
        <f>IF(A41="","",'Master Produk'!C41)</f>
        <v/>
      </c>
      <c r="D41" s="15" t="str">
        <f>IF(A41="","",SUMIFS('Input Movement'!$F$2:$F$1000,'Input Movement'!$D$2:$D$1000,A41,'Input Movement'!$C$2:$C$1000,"Stok masuk"))</f>
        <v/>
      </c>
      <c r="E41" s="15" t="str">
        <f>IF(A41="","",SUMIFS('Input Movement'!$F$2:$F$1000,'Input Movement'!$D$2:$D$1000,A41,'Input Movement'!$C$2:$C$1000,"Stok keluar"))</f>
        <v/>
      </c>
      <c r="F41" s="15" t="str">
        <f>IF(A41="","",SUMIFS('Input Movement'!$F$2:$F$1000,'Input Movement'!$D$2:$D$1000,A41,'Input Movement'!$C$2:$C$1000,"Adjustment"))</f>
        <v/>
      </c>
      <c r="G41" s="16" t="str">
        <f t="shared" si="1"/>
        <v/>
      </c>
    </row>
    <row r="42" spans="1:7" x14ac:dyDescent="0.3">
      <c r="A42" s="14" t="str">
        <f>IF('Master Produk'!A42="","",'Master Produk'!A42)</f>
        <v/>
      </c>
      <c r="B42" s="14" t="str">
        <f>IF(A42="","",'Master Produk'!B42)</f>
        <v/>
      </c>
      <c r="C42" s="15" t="str">
        <f>IF(A42="","",'Master Produk'!C42)</f>
        <v/>
      </c>
      <c r="D42" s="15" t="str">
        <f>IF(A42="","",SUMIFS('Input Movement'!$F$2:$F$1000,'Input Movement'!$D$2:$D$1000,A42,'Input Movement'!$C$2:$C$1000,"Stok masuk"))</f>
        <v/>
      </c>
      <c r="E42" s="15" t="str">
        <f>IF(A42="","",SUMIFS('Input Movement'!$F$2:$F$1000,'Input Movement'!$D$2:$D$1000,A42,'Input Movement'!$C$2:$C$1000,"Stok keluar"))</f>
        <v/>
      </c>
      <c r="F42" s="15" t="str">
        <f>IF(A42="","",SUMIFS('Input Movement'!$F$2:$F$1000,'Input Movement'!$D$2:$D$1000,A42,'Input Movement'!$C$2:$C$1000,"Adjustment"))</f>
        <v/>
      </c>
      <c r="G42" s="16" t="str">
        <f t="shared" si="1"/>
        <v/>
      </c>
    </row>
    <row r="43" spans="1:7" x14ac:dyDescent="0.3">
      <c r="A43" s="14" t="str">
        <f>IF('Master Produk'!A43="","",'Master Produk'!A43)</f>
        <v/>
      </c>
      <c r="B43" s="14" t="str">
        <f>IF(A43="","",'Master Produk'!B43)</f>
        <v/>
      </c>
      <c r="C43" s="15" t="str">
        <f>IF(A43="","",'Master Produk'!C43)</f>
        <v/>
      </c>
      <c r="D43" s="15" t="str">
        <f>IF(A43="","",SUMIFS('Input Movement'!$F$2:$F$1000,'Input Movement'!$D$2:$D$1000,A43,'Input Movement'!$C$2:$C$1000,"Stok masuk"))</f>
        <v/>
      </c>
      <c r="E43" s="15" t="str">
        <f>IF(A43="","",SUMIFS('Input Movement'!$F$2:$F$1000,'Input Movement'!$D$2:$D$1000,A43,'Input Movement'!$C$2:$C$1000,"Stok keluar"))</f>
        <v/>
      </c>
      <c r="F43" s="15" t="str">
        <f>IF(A43="","",SUMIFS('Input Movement'!$F$2:$F$1000,'Input Movement'!$D$2:$D$1000,A43,'Input Movement'!$C$2:$C$1000,"Adjustment"))</f>
        <v/>
      </c>
      <c r="G43" s="16" t="str">
        <f t="shared" si="1"/>
        <v/>
      </c>
    </row>
    <row r="44" spans="1:7" x14ac:dyDescent="0.3">
      <c r="A44" s="14" t="str">
        <f>IF('Master Produk'!A44="","",'Master Produk'!A44)</f>
        <v/>
      </c>
      <c r="B44" s="14" t="str">
        <f>IF(A44="","",'Master Produk'!B44)</f>
        <v/>
      </c>
      <c r="C44" s="15" t="str">
        <f>IF(A44="","",'Master Produk'!C44)</f>
        <v/>
      </c>
      <c r="D44" s="15" t="str">
        <f>IF(A44="","",SUMIFS('Input Movement'!$F$2:$F$1000,'Input Movement'!$D$2:$D$1000,A44,'Input Movement'!$C$2:$C$1000,"Stok masuk"))</f>
        <v/>
      </c>
      <c r="E44" s="15" t="str">
        <f>IF(A44="","",SUMIFS('Input Movement'!$F$2:$F$1000,'Input Movement'!$D$2:$D$1000,A44,'Input Movement'!$C$2:$C$1000,"Stok keluar"))</f>
        <v/>
      </c>
      <c r="F44" s="15" t="str">
        <f>IF(A44="","",SUMIFS('Input Movement'!$F$2:$F$1000,'Input Movement'!$D$2:$D$1000,A44,'Input Movement'!$C$2:$C$1000,"Adjustment"))</f>
        <v/>
      </c>
      <c r="G44" s="16" t="str">
        <f t="shared" si="1"/>
        <v/>
      </c>
    </row>
    <row r="45" spans="1:7" x14ac:dyDescent="0.3">
      <c r="A45" s="14" t="str">
        <f>IF('Master Produk'!A45="","",'Master Produk'!A45)</f>
        <v/>
      </c>
      <c r="B45" s="14" t="str">
        <f>IF(A45="","",'Master Produk'!B45)</f>
        <v/>
      </c>
      <c r="C45" s="15" t="str">
        <f>IF(A45="","",'Master Produk'!C45)</f>
        <v/>
      </c>
      <c r="D45" s="15" t="str">
        <f>IF(A45="","",SUMIFS('Input Movement'!$F$2:$F$1000,'Input Movement'!$D$2:$D$1000,A45,'Input Movement'!$C$2:$C$1000,"Stok masuk"))</f>
        <v/>
      </c>
      <c r="E45" s="15" t="str">
        <f>IF(A45="","",SUMIFS('Input Movement'!$F$2:$F$1000,'Input Movement'!$D$2:$D$1000,A45,'Input Movement'!$C$2:$C$1000,"Stok keluar"))</f>
        <v/>
      </c>
      <c r="F45" s="15" t="str">
        <f>IF(A45="","",SUMIFS('Input Movement'!$F$2:$F$1000,'Input Movement'!$D$2:$D$1000,A45,'Input Movement'!$C$2:$C$1000,"Adjustment"))</f>
        <v/>
      </c>
      <c r="G45" s="16" t="str">
        <f t="shared" si="1"/>
        <v/>
      </c>
    </row>
    <row r="46" spans="1:7" x14ac:dyDescent="0.3">
      <c r="A46" s="14" t="str">
        <f>IF('Master Produk'!A46="","",'Master Produk'!A46)</f>
        <v/>
      </c>
      <c r="B46" s="14" t="str">
        <f>IF(A46="","",'Master Produk'!B46)</f>
        <v/>
      </c>
      <c r="C46" s="15" t="str">
        <f>IF(A46="","",'Master Produk'!C46)</f>
        <v/>
      </c>
      <c r="D46" s="15" t="str">
        <f>IF(A46="","",SUMIFS('Input Movement'!$F$2:$F$1000,'Input Movement'!$D$2:$D$1000,A46,'Input Movement'!$C$2:$C$1000,"Stok masuk"))</f>
        <v/>
      </c>
      <c r="E46" s="15" t="str">
        <f>IF(A46="","",SUMIFS('Input Movement'!$F$2:$F$1000,'Input Movement'!$D$2:$D$1000,A46,'Input Movement'!$C$2:$C$1000,"Stok keluar"))</f>
        <v/>
      </c>
      <c r="F46" s="15" t="str">
        <f>IF(A46="","",SUMIFS('Input Movement'!$F$2:$F$1000,'Input Movement'!$D$2:$D$1000,A46,'Input Movement'!$C$2:$C$1000,"Adjustment"))</f>
        <v/>
      </c>
      <c r="G46" s="16" t="str">
        <f t="shared" si="1"/>
        <v/>
      </c>
    </row>
    <row r="47" spans="1:7" x14ac:dyDescent="0.3">
      <c r="A47" s="14" t="str">
        <f>IF('Master Produk'!A47="","",'Master Produk'!A47)</f>
        <v/>
      </c>
      <c r="B47" s="14" t="str">
        <f>IF(A47="","",'Master Produk'!B47)</f>
        <v/>
      </c>
      <c r="C47" s="15" t="str">
        <f>IF(A47="","",'Master Produk'!C47)</f>
        <v/>
      </c>
      <c r="D47" s="15" t="str">
        <f>IF(A47="","",SUMIFS('Input Movement'!$F$2:$F$1000,'Input Movement'!$D$2:$D$1000,A47,'Input Movement'!$C$2:$C$1000,"Stok masuk"))</f>
        <v/>
      </c>
      <c r="E47" s="15" t="str">
        <f>IF(A47="","",SUMIFS('Input Movement'!$F$2:$F$1000,'Input Movement'!$D$2:$D$1000,A47,'Input Movement'!$C$2:$C$1000,"Stok keluar"))</f>
        <v/>
      </c>
      <c r="F47" s="15" t="str">
        <f>IF(A47="","",SUMIFS('Input Movement'!$F$2:$F$1000,'Input Movement'!$D$2:$D$1000,A47,'Input Movement'!$C$2:$C$1000,"Adjustment"))</f>
        <v/>
      </c>
      <c r="G47" s="16" t="str">
        <f t="shared" si="1"/>
        <v/>
      </c>
    </row>
    <row r="48" spans="1:7" x14ac:dyDescent="0.3">
      <c r="A48" s="14" t="str">
        <f>IF('Master Produk'!A48="","",'Master Produk'!A48)</f>
        <v/>
      </c>
      <c r="B48" s="14" t="str">
        <f>IF(A48="","",'Master Produk'!B48)</f>
        <v/>
      </c>
      <c r="C48" s="15" t="str">
        <f>IF(A48="","",'Master Produk'!C48)</f>
        <v/>
      </c>
      <c r="D48" s="15" t="str">
        <f>IF(A48="","",SUMIFS('Input Movement'!$F$2:$F$1000,'Input Movement'!$D$2:$D$1000,A48,'Input Movement'!$C$2:$C$1000,"Stok masuk"))</f>
        <v/>
      </c>
      <c r="E48" s="15" t="str">
        <f>IF(A48="","",SUMIFS('Input Movement'!$F$2:$F$1000,'Input Movement'!$D$2:$D$1000,A48,'Input Movement'!$C$2:$C$1000,"Stok keluar"))</f>
        <v/>
      </c>
      <c r="F48" s="15" t="str">
        <f>IF(A48="","",SUMIFS('Input Movement'!$F$2:$F$1000,'Input Movement'!$D$2:$D$1000,A48,'Input Movement'!$C$2:$C$1000,"Adjustment"))</f>
        <v/>
      </c>
      <c r="G48" s="16" t="str">
        <f t="shared" si="1"/>
        <v/>
      </c>
    </row>
    <row r="49" spans="1:7" x14ac:dyDescent="0.3">
      <c r="A49" s="14" t="str">
        <f>IF('Master Produk'!A49="","",'Master Produk'!A49)</f>
        <v/>
      </c>
      <c r="B49" s="14" t="str">
        <f>IF(A49="","",'Master Produk'!B49)</f>
        <v/>
      </c>
      <c r="C49" s="15" t="str">
        <f>IF(A49="","",'Master Produk'!C49)</f>
        <v/>
      </c>
      <c r="D49" s="15" t="str">
        <f>IF(A49="","",SUMIFS('Input Movement'!$F$2:$F$1000,'Input Movement'!$D$2:$D$1000,A49,'Input Movement'!$C$2:$C$1000,"Stok masuk"))</f>
        <v/>
      </c>
      <c r="E49" s="15" t="str">
        <f>IF(A49="","",SUMIFS('Input Movement'!$F$2:$F$1000,'Input Movement'!$D$2:$D$1000,A49,'Input Movement'!$C$2:$C$1000,"Stok keluar"))</f>
        <v/>
      </c>
      <c r="F49" s="15" t="str">
        <f>IF(A49="","",SUMIFS('Input Movement'!$F$2:$F$1000,'Input Movement'!$D$2:$D$1000,A49,'Input Movement'!$C$2:$C$1000,"Adjustment"))</f>
        <v/>
      </c>
      <c r="G49" s="16" t="str">
        <f t="shared" si="1"/>
        <v/>
      </c>
    </row>
    <row r="50" spans="1:7" x14ac:dyDescent="0.3">
      <c r="A50" s="14" t="str">
        <f>IF('Master Produk'!A50="","",'Master Produk'!A50)</f>
        <v/>
      </c>
      <c r="B50" s="14" t="str">
        <f>IF(A50="","",'Master Produk'!B50)</f>
        <v/>
      </c>
      <c r="C50" s="15" t="str">
        <f>IF(A50="","",'Master Produk'!C50)</f>
        <v/>
      </c>
      <c r="D50" s="15" t="str">
        <f>IF(A50="","",SUMIFS('Input Movement'!$F$2:$F$1000,'Input Movement'!$D$2:$D$1000,A50,'Input Movement'!$C$2:$C$1000,"Stok masuk"))</f>
        <v/>
      </c>
      <c r="E50" s="15" t="str">
        <f>IF(A50="","",SUMIFS('Input Movement'!$F$2:$F$1000,'Input Movement'!$D$2:$D$1000,A50,'Input Movement'!$C$2:$C$1000,"Stok keluar"))</f>
        <v/>
      </c>
      <c r="F50" s="15" t="str">
        <f>IF(A50="","",SUMIFS('Input Movement'!$F$2:$F$1000,'Input Movement'!$D$2:$D$1000,A50,'Input Movement'!$C$2:$C$1000,"Adjustment"))</f>
        <v/>
      </c>
      <c r="G50" s="16" t="str">
        <f t="shared" si="1"/>
        <v/>
      </c>
    </row>
    <row r="51" spans="1:7" x14ac:dyDescent="0.3">
      <c r="A51" s="14" t="str">
        <f>IF('Master Produk'!A51="","",'Master Produk'!A51)</f>
        <v/>
      </c>
      <c r="B51" s="14" t="str">
        <f>IF(A51="","",'Master Produk'!B51)</f>
        <v/>
      </c>
      <c r="C51" s="15" t="str">
        <f>IF(A51="","",'Master Produk'!C51)</f>
        <v/>
      </c>
      <c r="D51" s="15" t="str">
        <f>IF(A51="","",SUMIFS('Input Movement'!$F$2:$F$1000,'Input Movement'!$D$2:$D$1000,A51,'Input Movement'!$C$2:$C$1000,"Stok masuk"))</f>
        <v/>
      </c>
      <c r="E51" s="15" t="str">
        <f>IF(A51="","",SUMIFS('Input Movement'!$F$2:$F$1000,'Input Movement'!$D$2:$D$1000,A51,'Input Movement'!$C$2:$C$1000,"Stok keluar"))</f>
        <v/>
      </c>
      <c r="F51" s="15" t="str">
        <f>IF(A51="","",SUMIFS('Input Movement'!$F$2:$F$1000,'Input Movement'!$D$2:$D$1000,A51,'Input Movement'!$C$2:$C$1000,"Adjustment"))</f>
        <v/>
      </c>
      <c r="G51" s="16" t="str">
        <f t="shared" si="1"/>
        <v/>
      </c>
    </row>
    <row r="52" spans="1:7" x14ac:dyDescent="0.3">
      <c r="A52" s="14" t="str">
        <f>IF('Master Produk'!A52="","",'Master Produk'!A52)</f>
        <v/>
      </c>
      <c r="B52" s="14" t="str">
        <f>IF(A52="","",'Master Produk'!B52)</f>
        <v/>
      </c>
      <c r="C52" s="15" t="str">
        <f>IF(A52="","",'Master Produk'!C52)</f>
        <v/>
      </c>
      <c r="D52" s="15" t="str">
        <f>IF(A52="","",SUMIFS('Input Movement'!$F$2:$F$1000,'Input Movement'!$D$2:$D$1000,A52,'Input Movement'!$C$2:$C$1000,"Stok masuk"))</f>
        <v/>
      </c>
      <c r="E52" s="15" t="str">
        <f>IF(A52="","",SUMIFS('Input Movement'!$F$2:$F$1000,'Input Movement'!$D$2:$D$1000,A52,'Input Movement'!$C$2:$C$1000,"Stok keluar"))</f>
        <v/>
      </c>
      <c r="F52" s="15" t="str">
        <f>IF(A52="","",SUMIFS('Input Movement'!$F$2:$F$1000,'Input Movement'!$D$2:$D$1000,A52,'Input Movement'!$C$2:$C$1000,"Adjustment"))</f>
        <v/>
      </c>
      <c r="G52" s="16" t="str">
        <f t="shared" si="1"/>
        <v/>
      </c>
    </row>
    <row r="53" spans="1:7" x14ac:dyDescent="0.3">
      <c r="A53" s="14" t="str">
        <f>IF('Master Produk'!A53="","",'Master Produk'!A53)</f>
        <v/>
      </c>
      <c r="B53" s="14" t="str">
        <f>IF(A53="","",'Master Produk'!B53)</f>
        <v/>
      </c>
      <c r="C53" s="15" t="str">
        <f>IF(A53="","",'Master Produk'!C53)</f>
        <v/>
      </c>
      <c r="D53" s="15" t="str">
        <f>IF(A53="","",SUMIFS('Input Movement'!$F$2:$F$1000,'Input Movement'!$D$2:$D$1000,A53,'Input Movement'!$C$2:$C$1000,"Stok masuk"))</f>
        <v/>
      </c>
      <c r="E53" s="15" t="str">
        <f>IF(A53="","",SUMIFS('Input Movement'!$F$2:$F$1000,'Input Movement'!$D$2:$D$1000,A53,'Input Movement'!$C$2:$C$1000,"Stok keluar"))</f>
        <v/>
      </c>
      <c r="F53" s="15" t="str">
        <f>IF(A53="","",SUMIFS('Input Movement'!$F$2:$F$1000,'Input Movement'!$D$2:$D$1000,A53,'Input Movement'!$C$2:$C$1000,"Adjustment"))</f>
        <v/>
      </c>
      <c r="G53" s="16" t="str">
        <f t="shared" si="1"/>
        <v/>
      </c>
    </row>
    <row r="54" spans="1:7" x14ac:dyDescent="0.3">
      <c r="A54" s="14" t="str">
        <f>IF('Master Produk'!A54="","",'Master Produk'!A54)</f>
        <v/>
      </c>
      <c r="B54" s="14" t="str">
        <f>IF(A54="","",'Master Produk'!B54)</f>
        <v/>
      </c>
      <c r="C54" s="15" t="str">
        <f>IF(A54="","",'Master Produk'!C54)</f>
        <v/>
      </c>
      <c r="D54" s="15" t="str">
        <f>IF(A54="","",SUMIFS('Input Movement'!$F$2:$F$1000,'Input Movement'!$D$2:$D$1000,A54,'Input Movement'!$C$2:$C$1000,"Stok masuk"))</f>
        <v/>
      </c>
      <c r="E54" s="15" t="str">
        <f>IF(A54="","",SUMIFS('Input Movement'!$F$2:$F$1000,'Input Movement'!$D$2:$D$1000,A54,'Input Movement'!$C$2:$C$1000,"Stok keluar"))</f>
        <v/>
      </c>
      <c r="F54" s="15" t="str">
        <f>IF(A54="","",SUMIFS('Input Movement'!$F$2:$F$1000,'Input Movement'!$D$2:$D$1000,A54,'Input Movement'!$C$2:$C$1000,"Adjustment"))</f>
        <v/>
      </c>
      <c r="G54" s="16" t="str">
        <f t="shared" si="1"/>
        <v/>
      </c>
    </row>
    <row r="55" spans="1:7" x14ac:dyDescent="0.3">
      <c r="A55" s="14" t="str">
        <f>IF('Master Produk'!A55="","",'Master Produk'!A55)</f>
        <v/>
      </c>
      <c r="B55" s="14" t="str">
        <f>IF(A55="","",'Master Produk'!B55)</f>
        <v/>
      </c>
      <c r="C55" s="15" t="str">
        <f>IF(A55="","",'Master Produk'!C55)</f>
        <v/>
      </c>
      <c r="D55" s="15" t="str">
        <f>IF(A55="","",SUMIFS('Input Movement'!$F$2:$F$1000,'Input Movement'!$D$2:$D$1000,A55,'Input Movement'!$C$2:$C$1000,"Stok masuk"))</f>
        <v/>
      </c>
      <c r="E55" s="15" t="str">
        <f>IF(A55="","",SUMIFS('Input Movement'!$F$2:$F$1000,'Input Movement'!$D$2:$D$1000,A55,'Input Movement'!$C$2:$C$1000,"Stok keluar"))</f>
        <v/>
      </c>
      <c r="F55" s="15" t="str">
        <f>IF(A55="","",SUMIFS('Input Movement'!$F$2:$F$1000,'Input Movement'!$D$2:$D$1000,A55,'Input Movement'!$C$2:$C$1000,"Adjustment"))</f>
        <v/>
      </c>
      <c r="G55" s="16" t="str">
        <f t="shared" si="1"/>
        <v/>
      </c>
    </row>
    <row r="56" spans="1:7" x14ac:dyDescent="0.3">
      <c r="A56" s="14" t="str">
        <f>IF('Master Produk'!A56="","",'Master Produk'!A56)</f>
        <v/>
      </c>
      <c r="B56" s="14" t="str">
        <f>IF(A56="","",'Master Produk'!B56)</f>
        <v/>
      </c>
      <c r="C56" s="15" t="str">
        <f>IF(A56="","",'Master Produk'!C56)</f>
        <v/>
      </c>
      <c r="D56" s="15" t="str">
        <f>IF(A56="","",SUMIFS('Input Movement'!$F$2:$F$1000,'Input Movement'!$D$2:$D$1000,A56,'Input Movement'!$C$2:$C$1000,"Stok masuk"))</f>
        <v/>
      </c>
      <c r="E56" s="15" t="str">
        <f>IF(A56="","",SUMIFS('Input Movement'!$F$2:$F$1000,'Input Movement'!$D$2:$D$1000,A56,'Input Movement'!$C$2:$C$1000,"Stok keluar"))</f>
        <v/>
      </c>
      <c r="F56" s="15" t="str">
        <f>IF(A56="","",SUMIFS('Input Movement'!$F$2:$F$1000,'Input Movement'!$D$2:$D$1000,A56,'Input Movement'!$C$2:$C$1000,"Adjustment"))</f>
        <v/>
      </c>
      <c r="G56" s="16" t="str">
        <f t="shared" si="1"/>
        <v/>
      </c>
    </row>
    <row r="57" spans="1:7" x14ac:dyDescent="0.3">
      <c r="A57" s="14" t="str">
        <f>IF('Master Produk'!A57="","",'Master Produk'!A57)</f>
        <v/>
      </c>
      <c r="B57" s="14" t="str">
        <f>IF(A57="","",'Master Produk'!B57)</f>
        <v/>
      </c>
      <c r="C57" s="15" t="str">
        <f>IF(A57="","",'Master Produk'!C57)</f>
        <v/>
      </c>
      <c r="D57" s="15" t="str">
        <f>IF(A57="","",SUMIFS('Input Movement'!$F$2:$F$1000,'Input Movement'!$D$2:$D$1000,A57,'Input Movement'!$C$2:$C$1000,"Stok masuk"))</f>
        <v/>
      </c>
      <c r="E57" s="15" t="str">
        <f>IF(A57="","",SUMIFS('Input Movement'!$F$2:$F$1000,'Input Movement'!$D$2:$D$1000,A57,'Input Movement'!$C$2:$C$1000,"Stok keluar"))</f>
        <v/>
      </c>
      <c r="F57" s="15" t="str">
        <f>IF(A57="","",SUMIFS('Input Movement'!$F$2:$F$1000,'Input Movement'!$D$2:$D$1000,A57,'Input Movement'!$C$2:$C$1000,"Adjustment"))</f>
        <v/>
      </c>
      <c r="G57" s="16" t="str">
        <f t="shared" si="1"/>
        <v/>
      </c>
    </row>
    <row r="58" spans="1:7" x14ac:dyDescent="0.3">
      <c r="A58" s="14" t="str">
        <f>IF('Master Produk'!A58="","",'Master Produk'!A58)</f>
        <v/>
      </c>
      <c r="B58" s="14" t="str">
        <f>IF(A58="","",'Master Produk'!B58)</f>
        <v/>
      </c>
      <c r="C58" s="15" t="str">
        <f>IF(A58="","",'Master Produk'!C58)</f>
        <v/>
      </c>
      <c r="D58" s="15" t="str">
        <f>IF(A58="","",SUMIFS('Input Movement'!$F$2:$F$1000,'Input Movement'!$D$2:$D$1000,A58,'Input Movement'!$C$2:$C$1000,"Stok masuk"))</f>
        <v/>
      </c>
      <c r="E58" s="15" t="str">
        <f>IF(A58="","",SUMIFS('Input Movement'!$F$2:$F$1000,'Input Movement'!$D$2:$D$1000,A58,'Input Movement'!$C$2:$C$1000,"Stok keluar"))</f>
        <v/>
      </c>
      <c r="F58" s="15" t="str">
        <f>IF(A58="","",SUMIFS('Input Movement'!$F$2:$F$1000,'Input Movement'!$D$2:$D$1000,A58,'Input Movement'!$C$2:$C$1000,"Adjustment"))</f>
        <v/>
      </c>
      <c r="G58" s="16" t="str">
        <f t="shared" si="1"/>
        <v/>
      </c>
    </row>
    <row r="59" spans="1:7" x14ac:dyDescent="0.3">
      <c r="A59" s="14" t="str">
        <f>IF('Master Produk'!A59="","",'Master Produk'!A59)</f>
        <v/>
      </c>
      <c r="B59" s="14" t="str">
        <f>IF(A59="","",'Master Produk'!B59)</f>
        <v/>
      </c>
      <c r="C59" s="15" t="str">
        <f>IF(A59="","",'Master Produk'!C59)</f>
        <v/>
      </c>
      <c r="D59" s="15" t="str">
        <f>IF(A59="","",SUMIFS('Input Movement'!$F$2:$F$1000,'Input Movement'!$D$2:$D$1000,A59,'Input Movement'!$C$2:$C$1000,"Stok masuk"))</f>
        <v/>
      </c>
      <c r="E59" s="15" t="str">
        <f>IF(A59="","",SUMIFS('Input Movement'!$F$2:$F$1000,'Input Movement'!$D$2:$D$1000,A59,'Input Movement'!$C$2:$C$1000,"Stok keluar"))</f>
        <v/>
      </c>
      <c r="F59" s="15" t="str">
        <f>IF(A59="","",SUMIFS('Input Movement'!$F$2:$F$1000,'Input Movement'!$D$2:$D$1000,A59,'Input Movement'!$C$2:$C$1000,"Adjustment"))</f>
        <v/>
      </c>
      <c r="G59" s="16" t="str">
        <f t="shared" si="1"/>
        <v/>
      </c>
    </row>
    <row r="60" spans="1:7" x14ac:dyDescent="0.3">
      <c r="A60" s="14" t="str">
        <f>IF('Master Produk'!A60="","",'Master Produk'!A60)</f>
        <v/>
      </c>
      <c r="B60" s="14" t="str">
        <f>IF(A60="","",'Master Produk'!B60)</f>
        <v/>
      </c>
      <c r="C60" s="15" t="str">
        <f>IF(A60="","",'Master Produk'!C60)</f>
        <v/>
      </c>
      <c r="D60" s="15" t="str">
        <f>IF(A60="","",SUMIFS('Input Movement'!$F$2:$F$1000,'Input Movement'!$D$2:$D$1000,A60,'Input Movement'!$C$2:$C$1000,"Stok masuk"))</f>
        <v/>
      </c>
      <c r="E60" s="15" t="str">
        <f>IF(A60="","",SUMIFS('Input Movement'!$F$2:$F$1000,'Input Movement'!$D$2:$D$1000,A60,'Input Movement'!$C$2:$C$1000,"Stok keluar"))</f>
        <v/>
      </c>
      <c r="F60" s="15" t="str">
        <f>IF(A60="","",SUMIFS('Input Movement'!$F$2:$F$1000,'Input Movement'!$D$2:$D$1000,A60,'Input Movement'!$C$2:$C$1000,"Adjustment"))</f>
        <v/>
      </c>
      <c r="G60" s="16" t="str">
        <f t="shared" si="1"/>
        <v/>
      </c>
    </row>
    <row r="61" spans="1:7" x14ac:dyDescent="0.3">
      <c r="A61" s="14" t="str">
        <f>IF('Master Produk'!A61="","",'Master Produk'!A61)</f>
        <v/>
      </c>
      <c r="B61" s="14" t="str">
        <f>IF(A61="","",'Master Produk'!B61)</f>
        <v/>
      </c>
      <c r="C61" s="15" t="str">
        <f>IF(A61="","",'Master Produk'!C61)</f>
        <v/>
      </c>
      <c r="D61" s="15" t="str">
        <f>IF(A61="","",SUMIFS('Input Movement'!$F$2:$F$1000,'Input Movement'!$D$2:$D$1000,A61,'Input Movement'!$C$2:$C$1000,"Stok masuk"))</f>
        <v/>
      </c>
      <c r="E61" s="15" t="str">
        <f>IF(A61="","",SUMIFS('Input Movement'!$F$2:$F$1000,'Input Movement'!$D$2:$D$1000,A61,'Input Movement'!$C$2:$C$1000,"Stok keluar"))</f>
        <v/>
      </c>
      <c r="F61" s="15" t="str">
        <f>IF(A61="","",SUMIFS('Input Movement'!$F$2:$F$1000,'Input Movement'!$D$2:$D$1000,A61,'Input Movement'!$C$2:$C$1000,"Adjustment"))</f>
        <v/>
      </c>
      <c r="G61" s="16" t="str">
        <f t="shared" si="1"/>
        <v/>
      </c>
    </row>
    <row r="62" spans="1:7" x14ac:dyDescent="0.3">
      <c r="A62" s="14" t="str">
        <f>IF('Master Produk'!A62="","",'Master Produk'!A62)</f>
        <v/>
      </c>
      <c r="B62" s="14" t="str">
        <f>IF(A62="","",'Master Produk'!B62)</f>
        <v/>
      </c>
      <c r="C62" s="15" t="str">
        <f>IF(A62="","",'Master Produk'!C62)</f>
        <v/>
      </c>
      <c r="D62" s="15" t="str">
        <f>IF(A62="","",SUMIFS('Input Movement'!$F$2:$F$1000,'Input Movement'!$D$2:$D$1000,A62,'Input Movement'!$C$2:$C$1000,"Stok masuk"))</f>
        <v/>
      </c>
      <c r="E62" s="15" t="str">
        <f>IF(A62="","",SUMIFS('Input Movement'!$F$2:$F$1000,'Input Movement'!$D$2:$D$1000,A62,'Input Movement'!$C$2:$C$1000,"Stok keluar"))</f>
        <v/>
      </c>
      <c r="F62" s="15" t="str">
        <f>IF(A62="","",SUMIFS('Input Movement'!$F$2:$F$1000,'Input Movement'!$D$2:$D$1000,A62,'Input Movement'!$C$2:$C$1000,"Adjustment"))</f>
        <v/>
      </c>
      <c r="G62" s="16" t="str">
        <f t="shared" si="1"/>
        <v/>
      </c>
    </row>
    <row r="63" spans="1:7" x14ac:dyDescent="0.3">
      <c r="A63" s="14" t="str">
        <f>IF('Master Produk'!A63="","",'Master Produk'!A63)</f>
        <v/>
      </c>
      <c r="B63" s="14" t="str">
        <f>IF(A63="","",'Master Produk'!B63)</f>
        <v/>
      </c>
      <c r="C63" s="15" t="str">
        <f>IF(A63="","",'Master Produk'!C63)</f>
        <v/>
      </c>
      <c r="D63" s="15" t="str">
        <f>IF(A63="","",SUMIFS('Input Movement'!$F$2:$F$1000,'Input Movement'!$D$2:$D$1000,A63,'Input Movement'!$C$2:$C$1000,"Stok masuk"))</f>
        <v/>
      </c>
      <c r="E63" s="15" t="str">
        <f>IF(A63="","",SUMIFS('Input Movement'!$F$2:$F$1000,'Input Movement'!$D$2:$D$1000,A63,'Input Movement'!$C$2:$C$1000,"Stok keluar"))</f>
        <v/>
      </c>
      <c r="F63" s="15" t="str">
        <f>IF(A63="","",SUMIFS('Input Movement'!$F$2:$F$1000,'Input Movement'!$D$2:$D$1000,A63,'Input Movement'!$C$2:$C$1000,"Adjustment"))</f>
        <v/>
      </c>
      <c r="G63" s="16" t="str">
        <f t="shared" si="1"/>
        <v/>
      </c>
    </row>
    <row r="64" spans="1:7" x14ac:dyDescent="0.3">
      <c r="A64" s="14" t="str">
        <f>IF('Master Produk'!A64="","",'Master Produk'!A64)</f>
        <v/>
      </c>
      <c r="B64" s="14" t="str">
        <f>IF(A64="","",'Master Produk'!B64)</f>
        <v/>
      </c>
      <c r="C64" s="15" t="str">
        <f>IF(A64="","",'Master Produk'!C64)</f>
        <v/>
      </c>
      <c r="D64" s="15" t="str">
        <f>IF(A64="","",SUMIFS('Input Movement'!$F$2:$F$1000,'Input Movement'!$D$2:$D$1000,A64,'Input Movement'!$C$2:$C$1000,"Stok masuk"))</f>
        <v/>
      </c>
      <c r="E64" s="15" t="str">
        <f>IF(A64="","",SUMIFS('Input Movement'!$F$2:$F$1000,'Input Movement'!$D$2:$D$1000,A64,'Input Movement'!$C$2:$C$1000,"Stok keluar"))</f>
        <v/>
      </c>
      <c r="F64" s="15" t="str">
        <f>IF(A64="","",SUMIFS('Input Movement'!$F$2:$F$1000,'Input Movement'!$D$2:$D$1000,A64,'Input Movement'!$C$2:$C$1000,"Adjustment"))</f>
        <v/>
      </c>
      <c r="G64" s="16" t="str">
        <f t="shared" si="1"/>
        <v/>
      </c>
    </row>
    <row r="65" spans="1:7" x14ac:dyDescent="0.3">
      <c r="A65" s="14" t="str">
        <f>IF('Master Produk'!A65="","",'Master Produk'!A65)</f>
        <v/>
      </c>
      <c r="B65" s="14" t="str">
        <f>IF(A65="","",'Master Produk'!B65)</f>
        <v/>
      </c>
      <c r="C65" s="15" t="str">
        <f>IF(A65="","",'Master Produk'!C65)</f>
        <v/>
      </c>
      <c r="D65" s="15" t="str">
        <f>IF(A65="","",SUMIFS('Input Movement'!$F$2:$F$1000,'Input Movement'!$D$2:$D$1000,A65,'Input Movement'!$C$2:$C$1000,"Stok masuk"))</f>
        <v/>
      </c>
      <c r="E65" s="15" t="str">
        <f>IF(A65="","",SUMIFS('Input Movement'!$F$2:$F$1000,'Input Movement'!$D$2:$D$1000,A65,'Input Movement'!$C$2:$C$1000,"Stok keluar"))</f>
        <v/>
      </c>
      <c r="F65" s="15" t="str">
        <f>IF(A65="","",SUMIFS('Input Movement'!$F$2:$F$1000,'Input Movement'!$D$2:$D$1000,A65,'Input Movement'!$C$2:$C$1000,"Adjustment"))</f>
        <v/>
      </c>
      <c r="G65" s="16" t="str">
        <f t="shared" si="1"/>
        <v/>
      </c>
    </row>
    <row r="66" spans="1:7" x14ac:dyDescent="0.3">
      <c r="A66" s="14" t="str">
        <f>IF('Master Produk'!A66="","",'Master Produk'!A66)</f>
        <v/>
      </c>
      <c r="B66" s="14" t="str">
        <f>IF(A66="","",'Master Produk'!B66)</f>
        <v/>
      </c>
      <c r="C66" s="15" t="str">
        <f>IF(A66="","",'Master Produk'!C66)</f>
        <v/>
      </c>
      <c r="D66" s="15" t="str">
        <f>IF(A66="","",SUMIFS('Input Movement'!$F$2:$F$1000,'Input Movement'!$D$2:$D$1000,A66,'Input Movement'!$C$2:$C$1000,"Stok masuk"))</f>
        <v/>
      </c>
      <c r="E66" s="15" t="str">
        <f>IF(A66="","",SUMIFS('Input Movement'!$F$2:$F$1000,'Input Movement'!$D$2:$D$1000,A66,'Input Movement'!$C$2:$C$1000,"Stok keluar"))</f>
        <v/>
      </c>
      <c r="F66" s="15" t="str">
        <f>IF(A66="","",SUMIFS('Input Movement'!$F$2:$F$1000,'Input Movement'!$D$2:$D$1000,A66,'Input Movement'!$C$2:$C$1000,"Adjustment"))</f>
        <v/>
      </c>
      <c r="G66" s="16" t="str">
        <f t="shared" ref="G66:G97" si="2">IF(A66="","",C66+D66+E66+F66)</f>
        <v/>
      </c>
    </row>
    <row r="67" spans="1:7" x14ac:dyDescent="0.3">
      <c r="A67" s="14" t="str">
        <f>IF('Master Produk'!A67="","",'Master Produk'!A67)</f>
        <v/>
      </c>
      <c r="B67" s="14" t="str">
        <f>IF(A67="","",'Master Produk'!B67)</f>
        <v/>
      </c>
      <c r="C67" s="15" t="str">
        <f>IF(A67="","",'Master Produk'!C67)</f>
        <v/>
      </c>
      <c r="D67" s="15" t="str">
        <f>IF(A67="","",SUMIFS('Input Movement'!$F$2:$F$1000,'Input Movement'!$D$2:$D$1000,A67,'Input Movement'!$C$2:$C$1000,"Stok masuk"))</f>
        <v/>
      </c>
      <c r="E67" s="15" t="str">
        <f>IF(A67="","",SUMIFS('Input Movement'!$F$2:$F$1000,'Input Movement'!$D$2:$D$1000,A67,'Input Movement'!$C$2:$C$1000,"Stok keluar"))</f>
        <v/>
      </c>
      <c r="F67" s="15" t="str">
        <f>IF(A67="","",SUMIFS('Input Movement'!$F$2:$F$1000,'Input Movement'!$D$2:$D$1000,A67,'Input Movement'!$C$2:$C$1000,"Adjustment"))</f>
        <v/>
      </c>
      <c r="G67" s="16" t="str">
        <f t="shared" si="2"/>
        <v/>
      </c>
    </row>
    <row r="68" spans="1:7" x14ac:dyDescent="0.3">
      <c r="A68" s="14" t="str">
        <f>IF('Master Produk'!A68="","",'Master Produk'!A68)</f>
        <v/>
      </c>
      <c r="B68" s="14" t="str">
        <f>IF(A68="","",'Master Produk'!B68)</f>
        <v/>
      </c>
      <c r="C68" s="15" t="str">
        <f>IF(A68="","",'Master Produk'!C68)</f>
        <v/>
      </c>
      <c r="D68" s="15" t="str">
        <f>IF(A68="","",SUMIFS('Input Movement'!$F$2:$F$1000,'Input Movement'!$D$2:$D$1000,A68,'Input Movement'!$C$2:$C$1000,"Stok masuk"))</f>
        <v/>
      </c>
      <c r="E68" s="15" t="str">
        <f>IF(A68="","",SUMIFS('Input Movement'!$F$2:$F$1000,'Input Movement'!$D$2:$D$1000,A68,'Input Movement'!$C$2:$C$1000,"Stok keluar"))</f>
        <v/>
      </c>
      <c r="F68" s="15" t="str">
        <f>IF(A68="","",SUMIFS('Input Movement'!$F$2:$F$1000,'Input Movement'!$D$2:$D$1000,A68,'Input Movement'!$C$2:$C$1000,"Adjustment"))</f>
        <v/>
      </c>
      <c r="G68" s="16" t="str">
        <f t="shared" si="2"/>
        <v/>
      </c>
    </row>
    <row r="69" spans="1:7" x14ac:dyDescent="0.3">
      <c r="A69" s="14" t="str">
        <f>IF('Master Produk'!A69="","",'Master Produk'!A69)</f>
        <v/>
      </c>
      <c r="B69" s="14" t="str">
        <f>IF(A69="","",'Master Produk'!B69)</f>
        <v/>
      </c>
      <c r="C69" s="15" t="str">
        <f>IF(A69="","",'Master Produk'!C69)</f>
        <v/>
      </c>
      <c r="D69" s="15" t="str">
        <f>IF(A69="","",SUMIFS('Input Movement'!$F$2:$F$1000,'Input Movement'!$D$2:$D$1000,A69,'Input Movement'!$C$2:$C$1000,"Stok masuk"))</f>
        <v/>
      </c>
      <c r="E69" s="15" t="str">
        <f>IF(A69="","",SUMIFS('Input Movement'!$F$2:$F$1000,'Input Movement'!$D$2:$D$1000,A69,'Input Movement'!$C$2:$C$1000,"Stok keluar"))</f>
        <v/>
      </c>
      <c r="F69" s="15" t="str">
        <f>IF(A69="","",SUMIFS('Input Movement'!$F$2:$F$1000,'Input Movement'!$D$2:$D$1000,A69,'Input Movement'!$C$2:$C$1000,"Adjustment"))</f>
        <v/>
      </c>
      <c r="G69" s="16" t="str">
        <f t="shared" si="2"/>
        <v/>
      </c>
    </row>
    <row r="70" spans="1:7" x14ac:dyDescent="0.3">
      <c r="A70" s="14" t="str">
        <f>IF('Master Produk'!A70="","",'Master Produk'!A70)</f>
        <v/>
      </c>
      <c r="B70" s="14" t="str">
        <f>IF(A70="","",'Master Produk'!B70)</f>
        <v/>
      </c>
      <c r="C70" s="15" t="str">
        <f>IF(A70="","",'Master Produk'!C70)</f>
        <v/>
      </c>
      <c r="D70" s="15" t="str">
        <f>IF(A70="","",SUMIFS('Input Movement'!$F$2:$F$1000,'Input Movement'!$D$2:$D$1000,A70,'Input Movement'!$C$2:$C$1000,"Stok masuk"))</f>
        <v/>
      </c>
      <c r="E70" s="15" t="str">
        <f>IF(A70="","",SUMIFS('Input Movement'!$F$2:$F$1000,'Input Movement'!$D$2:$D$1000,A70,'Input Movement'!$C$2:$C$1000,"Stok keluar"))</f>
        <v/>
      </c>
      <c r="F70" s="15" t="str">
        <f>IF(A70="","",SUMIFS('Input Movement'!$F$2:$F$1000,'Input Movement'!$D$2:$D$1000,A70,'Input Movement'!$C$2:$C$1000,"Adjustment"))</f>
        <v/>
      </c>
      <c r="G70" s="16" t="str">
        <f t="shared" si="2"/>
        <v/>
      </c>
    </row>
    <row r="71" spans="1:7" x14ac:dyDescent="0.3">
      <c r="A71" s="14" t="str">
        <f>IF('Master Produk'!A71="","",'Master Produk'!A71)</f>
        <v/>
      </c>
      <c r="B71" s="14" t="str">
        <f>IF(A71="","",'Master Produk'!B71)</f>
        <v/>
      </c>
      <c r="C71" s="15" t="str">
        <f>IF(A71="","",'Master Produk'!C71)</f>
        <v/>
      </c>
      <c r="D71" s="15" t="str">
        <f>IF(A71="","",SUMIFS('Input Movement'!$F$2:$F$1000,'Input Movement'!$D$2:$D$1000,A71,'Input Movement'!$C$2:$C$1000,"Stok masuk"))</f>
        <v/>
      </c>
      <c r="E71" s="15" t="str">
        <f>IF(A71="","",SUMIFS('Input Movement'!$F$2:$F$1000,'Input Movement'!$D$2:$D$1000,A71,'Input Movement'!$C$2:$C$1000,"Stok keluar"))</f>
        <v/>
      </c>
      <c r="F71" s="15" t="str">
        <f>IF(A71="","",SUMIFS('Input Movement'!$F$2:$F$1000,'Input Movement'!$D$2:$D$1000,A71,'Input Movement'!$C$2:$C$1000,"Adjustment"))</f>
        <v/>
      </c>
      <c r="G71" s="16" t="str">
        <f t="shared" si="2"/>
        <v/>
      </c>
    </row>
    <row r="72" spans="1:7" x14ac:dyDescent="0.3">
      <c r="A72" s="14" t="str">
        <f>IF('Master Produk'!A72="","",'Master Produk'!A72)</f>
        <v/>
      </c>
      <c r="B72" s="14" t="str">
        <f>IF(A72="","",'Master Produk'!B72)</f>
        <v/>
      </c>
      <c r="C72" s="15" t="str">
        <f>IF(A72="","",'Master Produk'!C72)</f>
        <v/>
      </c>
      <c r="D72" s="15" t="str">
        <f>IF(A72="","",SUMIFS('Input Movement'!$F$2:$F$1000,'Input Movement'!$D$2:$D$1000,A72,'Input Movement'!$C$2:$C$1000,"Stok masuk"))</f>
        <v/>
      </c>
      <c r="E72" s="15" t="str">
        <f>IF(A72="","",SUMIFS('Input Movement'!$F$2:$F$1000,'Input Movement'!$D$2:$D$1000,A72,'Input Movement'!$C$2:$C$1000,"Stok keluar"))</f>
        <v/>
      </c>
      <c r="F72" s="15" t="str">
        <f>IF(A72="","",SUMIFS('Input Movement'!$F$2:$F$1000,'Input Movement'!$D$2:$D$1000,A72,'Input Movement'!$C$2:$C$1000,"Adjustment"))</f>
        <v/>
      </c>
      <c r="G72" s="16" t="str">
        <f t="shared" si="2"/>
        <v/>
      </c>
    </row>
    <row r="73" spans="1:7" x14ac:dyDescent="0.3">
      <c r="A73" s="14" t="str">
        <f>IF('Master Produk'!A73="","",'Master Produk'!A73)</f>
        <v/>
      </c>
      <c r="B73" s="14" t="str">
        <f>IF(A73="","",'Master Produk'!B73)</f>
        <v/>
      </c>
      <c r="C73" s="15" t="str">
        <f>IF(A73="","",'Master Produk'!C73)</f>
        <v/>
      </c>
      <c r="D73" s="15" t="str">
        <f>IF(A73="","",SUMIFS('Input Movement'!$F$2:$F$1000,'Input Movement'!$D$2:$D$1000,A73,'Input Movement'!$C$2:$C$1000,"Stok masuk"))</f>
        <v/>
      </c>
      <c r="E73" s="15" t="str">
        <f>IF(A73="","",SUMIFS('Input Movement'!$F$2:$F$1000,'Input Movement'!$D$2:$D$1000,A73,'Input Movement'!$C$2:$C$1000,"Stok keluar"))</f>
        <v/>
      </c>
      <c r="F73" s="15" t="str">
        <f>IF(A73="","",SUMIFS('Input Movement'!$F$2:$F$1000,'Input Movement'!$D$2:$D$1000,A73,'Input Movement'!$C$2:$C$1000,"Adjustment"))</f>
        <v/>
      </c>
      <c r="G73" s="16" t="str">
        <f t="shared" si="2"/>
        <v/>
      </c>
    </row>
    <row r="74" spans="1:7" x14ac:dyDescent="0.3">
      <c r="A74" s="14" t="str">
        <f>IF('Master Produk'!A74="","",'Master Produk'!A74)</f>
        <v/>
      </c>
      <c r="B74" s="14" t="str">
        <f>IF(A74="","",'Master Produk'!B74)</f>
        <v/>
      </c>
      <c r="C74" s="15" t="str">
        <f>IF(A74="","",'Master Produk'!C74)</f>
        <v/>
      </c>
      <c r="D74" s="15" t="str">
        <f>IF(A74="","",SUMIFS('Input Movement'!$F$2:$F$1000,'Input Movement'!$D$2:$D$1000,A74,'Input Movement'!$C$2:$C$1000,"Stok masuk"))</f>
        <v/>
      </c>
      <c r="E74" s="15" t="str">
        <f>IF(A74="","",SUMIFS('Input Movement'!$F$2:$F$1000,'Input Movement'!$D$2:$D$1000,A74,'Input Movement'!$C$2:$C$1000,"Stok keluar"))</f>
        <v/>
      </c>
      <c r="F74" s="15" t="str">
        <f>IF(A74="","",SUMIFS('Input Movement'!$F$2:$F$1000,'Input Movement'!$D$2:$D$1000,A74,'Input Movement'!$C$2:$C$1000,"Adjustment"))</f>
        <v/>
      </c>
      <c r="G74" s="16" t="str">
        <f t="shared" si="2"/>
        <v/>
      </c>
    </row>
    <row r="75" spans="1:7" x14ac:dyDescent="0.3">
      <c r="A75" s="14" t="str">
        <f>IF('Master Produk'!A75="","",'Master Produk'!A75)</f>
        <v/>
      </c>
      <c r="B75" s="14" t="str">
        <f>IF(A75="","",'Master Produk'!B75)</f>
        <v/>
      </c>
      <c r="C75" s="15" t="str">
        <f>IF(A75="","",'Master Produk'!C75)</f>
        <v/>
      </c>
      <c r="D75" s="15" t="str">
        <f>IF(A75="","",SUMIFS('Input Movement'!$F$2:$F$1000,'Input Movement'!$D$2:$D$1000,A75,'Input Movement'!$C$2:$C$1000,"Stok masuk"))</f>
        <v/>
      </c>
      <c r="E75" s="15" t="str">
        <f>IF(A75="","",SUMIFS('Input Movement'!$F$2:$F$1000,'Input Movement'!$D$2:$D$1000,A75,'Input Movement'!$C$2:$C$1000,"Stok keluar"))</f>
        <v/>
      </c>
      <c r="F75" s="15" t="str">
        <f>IF(A75="","",SUMIFS('Input Movement'!$F$2:$F$1000,'Input Movement'!$D$2:$D$1000,A75,'Input Movement'!$C$2:$C$1000,"Adjustment"))</f>
        <v/>
      </c>
      <c r="G75" s="16" t="str">
        <f t="shared" si="2"/>
        <v/>
      </c>
    </row>
    <row r="76" spans="1:7" x14ac:dyDescent="0.3">
      <c r="A76" s="14" t="str">
        <f>IF('Master Produk'!A76="","",'Master Produk'!A76)</f>
        <v/>
      </c>
      <c r="B76" s="14" t="str">
        <f>IF(A76="","",'Master Produk'!B76)</f>
        <v/>
      </c>
      <c r="C76" s="15" t="str">
        <f>IF(A76="","",'Master Produk'!C76)</f>
        <v/>
      </c>
      <c r="D76" s="15" t="str">
        <f>IF(A76="","",SUMIFS('Input Movement'!$F$2:$F$1000,'Input Movement'!$D$2:$D$1000,A76,'Input Movement'!$C$2:$C$1000,"Stok masuk"))</f>
        <v/>
      </c>
      <c r="E76" s="15" t="str">
        <f>IF(A76="","",SUMIFS('Input Movement'!$F$2:$F$1000,'Input Movement'!$D$2:$D$1000,A76,'Input Movement'!$C$2:$C$1000,"Stok keluar"))</f>
        <v/>
      </c>
      <c r="F76" s="15" t="str">
        <f>IF(A76="","",SUMIFS('Input Movement'!$F$2:$F$1000,'Input Movement'!$D$2:$D$1000,A76,'Input Movement'!$C$2:$C$1000,"Adjustment"))</f>
        <v/>
      </c>
      <c r="G76" s="16" t="str">
        <f t="shared" si="2"/>
        <v/>
      </c>
    </row>
    <row r="77" spans="1:7" x14ac:dyDescent="0.3">
      <c r="A77" s="14" t="str">
        <f>IF('Master Produk'!A77="","",'Master Produk'!A77)</f>
        <v/>
      </c>
      <c r="B77" s="14" t="str">
        <f>IF(A77="","",'Master Produk'!B77)</f>
        <v/>
      </c>
      <c r="C77" s="15" t="str">
        <f>IF(A77="","",'Master Produk'!C77)</f>
        <v/>
      </c>
      <c r="D77" s="15" t="str">
        <f>IF(A77="","",SUMIFS('Input Movement'!$F$2:$F$1000,'Input Movement'!$D$2:$D$1000,A77,'Input Movement'!$C$2:$C$1000,"Stok masuk"))</f>
        <v/>
      </c>
      <c r="E77" s="15" t="str">
        <f>IF(A77="","",SUMIFS('Input Movement'!$F$2:$F$1000,'Input Movement'!$D$2:$D$1000,A77,'Input Movement'!$C$2:$C$1000,"Stok keluar"))</f>
        <v/>
      </c>
      <c r="F77" s="15" t="str">
        <f>IF(A77="","",SUMIFS('Input Movement'!$F$2:$F$1000,'Input Movement'!$D$2:$D$1000,A77,'Input Movement'!$C$2:$C$1000,"Adjustment"))</f>
        <v/>
      </c>
      <c r="G77" s="16" t="str">
        <f t="shared" si="2"/>
        <v/>
      </c>
    </row>
    <row r="78" spans="1:7" x14ac:dyDescent="0.3">
      <c r="A78" s="14" t="str">
        <f>IF('Master Produk'!A78="","",'Master Produk'!A78)</f>
        <v/>
      </c>
      <c r="B78" s="14" t="str">
        <f>IF(A78="","",'Master Produk'!B78)</f>
        <v/>
      </c>
      <c r="C78" s="15" t="str">
        <f>IF(A78="","",'Master Produk'!C78)</f>
        <v/>
      </c>
      <c r="D78" s="15" t="str">
        <f>IF(A78="","",SUMIFS('Input Movement'!$F$2:$F$1000,'Input Movement'!$D$2:$D$1000,A78,'Input Movement'!$C$2:$C$1000,"Stok masuk"))</f>
        <v/>
      </c>
      <c r="E78" s="15" t="str">
        <f>IF(A78="","",SUMIFS('Input Movement'!$F$2:$F$1000,'Input Movement'!$D$2:$D$1000,A78,'Input Movement'!$C$2:$C$1000,"Stok keluar"))</f>
        <v/>
      </c>
      <c r="F78" s="15" t="str">
        <f>IF(A78="","",SUMIFS('Input Movement'!$F$2:$F$1000,'Input Movement'!$D$2:$D$1000,A78,'Input Movement'!$C$2:$C$1000,"Adjustment"))</f>
        <v/>
      </c>
      <c r="G78" s="16" t="str">
        <f t="shared" si="2"/>
        <v/>
      </c>
    </row>
    <row r="79" spans="1:7" x14ac:dyDescent="0.3">
      <c r="A79" s="14" t="str">
        <f>IF('Master Produk'!A79="","",'Master Produk'!A79)</f>
        <v/>
      </c>
      <c r="B79" s="14" t="str">
        <f>IF(A79="","",'Master Produk'!B79)</f>
        <v/>
      </c>
      <c r="C79" s="15" t="str">
        <f>IF(A79="","",'Master Produk'!C79)</f>
        <v/>
      </c>
      <c r="D79" s="15" t="str">
        <f>IF(A79="","",SUMIFS('Input Movement'!$F$2:$F$1000,'Input Movement'!$D$2:$D$1000,A79,'Input Movement'!$C$2:$C$1000,"Stok masuk"))</f>
        <v/>
      </c>
      <c r="E79" s="15" t="str">
        <f>IF(A79="","",SUMIFS('Input Movement'!$F$2:$F$1000,'Input Movement'!$D$2:$D$1000,A79,'Input Movement'!$C$2:$C$1000,"Stok keluar"))</f>
        <v/>
      </c>
      <c r="F79" s="15" t="str">
        <f>IF(A79="","",SUMIFS('Input Movement'!$F$2:$F$1000,'Input Movement'!$D$2:$D$1000,A79,'Input Movement'!$C$2:$C$1000,"Adjustment"))</f>
        <v/>
      </c>
      <c r="G79" s="16" t="str">
        <f t="shared" si="2"/>
        <v/>
      </c>
    </row>
    <row r="80" spans="1:7" x14ac:dyDescent="0.3">
      <c r="A80" s="14" t="str">
        <f>IF('Master Produk'!A80="","",'Master Produk'!A80)</f>
        <v/>
      </c>
      <c r="B80" s="14" t="str">
        <f>IF(A80="","",'Master Produk'!B80)</f>
        <v/>
      </c>
      <c r="C80" s="15" t="str">
        <f>IF(A80="","",'Master Produk'!C80)</f>
        <v/>
      </c>
      <c r="D80" s="15" t="str">
        <f>IF(A80="","",SUMIFS('Input Movement'!$F$2:$F$1000,'Input Movement'!$D$2:$D$1000,A80,'Input Movement'!$C$2:$C$1000,"Stok masuk"))</f>
        <v/>
      </c>
      <c r="E80" s="15" t="str">
        <f>IF(A80="","",SUMIFS('Input Movement'!$F$2:$F$1000,'Input Movement'!$D$2:$D$1000,A80,'Input Movement'!$C$2:$C$1000,"Stok keluar"))</f>
        <v/>
      </c>
      <c r="F80" s="15" t="str">
        <f>IF(A80="","",SUMIFS('Input Movement'!$F$2:$F$1000,'Input Movement'!$D$2:$D$1000,A80,'Input Movement'!$C$2:$C$1000,"Adjustment"))</f>
        <v/>
      </c>
      <c r="G80" s="16" t="str">
        <f t="shared" si="2"/>
        <v/>
      </c>
    </row>
    <row r="81" spans="1:7" x14ac:dyDescent="0.3">
      <c r="A81" s="14" t="str">
        <f>IF('Master Produk'!A81="","",'Master Produk'!A81)</f>
        <v/>
      </c>
      <c r="B81" s="14" t="str">
        <f>IF(A81="","",'Master Produk'!B81)</f>
        <v/>
      </c>
      <c r="C81" s="15" t="str">
        <f>IF(A81="","",'Master Produk'!C81)</f>
        <v/>
      </c>
      <c r="D81" s="15" t="str">
        <f>IF(A81="","",SUMIFS('Input Movement'!$F$2:$F$1000,'Input Movement'!$D$2:$D$1000,A81,'Input Movement'!$C$2:$C$1000,"Stok masuk"))</f>
        <v/>
      </c>
      <c r="E81" s="15" t="str">
        <f>IF(A81="","",SUMIFS('Input Movement'!$F$2:$F$1000,'Input Movement'!$D$2:$D$1000,A81,'Input Movement'!$C$2:$C$1000,"Stok keluar"))</f>
        <v/>
      </c>
      <c r="F81" s="15" t="str">
        <f>IF(A81="","",SUMIFS('Input Movement'!$F$2:$F$1000,'Input Movement'!$D$2:$D$1000,A81,'Input Movement'!$C$2:$C$1000,"Adjustment"))</f>
        <v/>
      </c>
      <c r="G81" s="16" t="str">
        <f t="shared" si="2"/>
        <v/>
      </c>
    </row>
    <row r="82" spans="1:7" x14ac:dyDescent="0.3">
      <c r="A82" s="14" t="str">
        <f>IF('Master Produk'!A82="","",'Master Produk'!A82)</f>
        <v/>
      </c>
      <c r="B82" s="14" t="str">
        <f>IF(A82="","",'Master Produk'!B82)</f>
        <v/>
      </c>
      <c r="C82" s="15" t="str">
        <f>IF(A82="","",'Master Produk'!C82)</f>
        <v/>
      </c>
      <c r="D82" s="15" t="str">
        <f>IF(A82="","",SUMIFS('Input Movement'!$F$2:$F$1000,'Input Movement'!$D$2:$D$1000,A82,'Input Movement'!$C$2:$C$1000,"Stok masuk"))</f>
        <v/>
      </c>
      <c r="E82" s="15" t="str">
        <f>IF(A82="","",SUMIFS('Input Movement'!$F$2:$F$1000,'Input Movement'!$D$2:$D$1000,A82,'Input Movement'!$C$2:$C$1000,"Stok keluar"))</f>
        <v/>
      </c>
      <c r="F82" s="15" t="str">
        <f>IF(A82="","",SUMIFS('Input Movement'!$F$2:$F$1000,'Input Movement'!$D$2:$D$1000,A82,'Input Movement'!$C$2:$C$1000,"Adjustment"))</f>
        <v/>
      </c>
      <c r="G82" s="16" t="str">
        <f t="shared" si="2"/>
        <v/>
      </c>
    </row>
    <row r="83" spans="1:7" x14ac:dyDescent="0.3">
      <c r="A83" s="14" t="str">
        <f>IF('Master Produk'!A83="","",'Master Produk'!A83)</f>
        <v/>
      </c>
      <c r="B83" s="14" t="str">
        <f>IF(A83="","",'Master Produk'!B83)</f>
        <v/>
      </c>
      <c r="C83" s="15" t="str">
        <f>IF(A83="","",'Master Produk'!C83)</f>
        <v/>
      </c>
      <c r="D83" s="15" t="str">
        <f>IF(A83="","",SUMIFS('Input Movement'!$F$2:$F$1000,'Input Movement'!$D$2:$D$1000,A83,'Input Movement'!$C$2:$C$1000,"Stok masuk"))</f>
        <v/>
      </c>
      <c r="E83" s="15" t="str">
        <f>IF(A83="","",SUMIFS('Input Movement'!$F$2:$F$1000,'Input Movement'!$D$2:$D$1000,A83,'Input Movement'!$C$2:$C$1000,"Stok keluar"))</f>
        <v/>
      </c>
      <c r="F83" s="15" t="str">
        <f>IF(A83="","",SUMIFS('Input Movement'!$F$2:$F$1000,'Input Movement'!$D$2:$D$1000,A83,'Input Movement'!$C$2:$C$1000,"Adjustment"))</f>
        <v/>
      </c>
      <c r="G83" s="16" t="str">
        <f t="shared" si="2"/>
        <v/>
      </c>
    </row>
    <row r="84" spans="1:7" x14ac:dyDescent="0.3">
      <c r="A84" s="14" t="str">
        <f>IF('Master Produk'!A84="","",'Master Produk'!A84)</f>
        <v/>
      </c>
      <c r="B84" s="14" t="str">
        <f>IF(A84="","",'Master Produk'!B84)</f>
        <v/>
      </c>
      <c r="C84" s="15" t="str">
        <f>IF(A84="","",'Master Produk'!C84)</f>
        <v/>
      </c>
      <c r="D84" s="15" t="str">
        <f>IF(A84="","",SUMIFS('Input Movement'!$F$2:$F$1000,'Input Movement'!$D$2:$D$1000,A84,'Input Movement'!$C$2:$C$1000,"Stok masuk"))</f>
        <v/>
      </c>
      <c r="E84" s="15" t="str">
        <f>IF(A84="","",SUMIFS('Input Movement'!$F$2:$F$1000,'Input Movement'!$D$2:$D$1000,A84,'Input Movement'!$C$2:$C$1000,"Stok keluar"))</f>
        <v/>
      </c>
      <c r="F84" s="15" t="str">
        <f>IF(A84="","",SUMIFS('Input Movement'!$F$2:$F$1000,'Input Movement'!$D$2:$D$1000,A84,'Input Movement'!$C$2:$C$1000,"Adjustment"))</f>
        <v/>
      </c>
      <c r="G84" s="16" t="str">
        <f t="shared" si="2"/>
        <v/>
      </c>
    </row>
    <row r="85" spans="1:7" x14ac:dyDescent="0.3">
      <c r="A85" s="14" t="str">
        <f>IF('Master Produk'!A85="","",'Master Produk'!A85)</f>
        <v/>
      </c>
      <c r="B85" s="14" t="str">
        <f>IF(A85="","",'Master Produk'!B85)</f>
        <v/>
      </c>
      <c r="C85" s="15" t="str">
        <f>IF(A85="","",'Master Produk'!C85)</f>
        <v/>
      </c>
      <c r="D85" s="15" t="str">
        <f>IF(A85="","",SUMIFS('Input Movement'!$F$2:$F$1000,'Input Movement'!$D$2:$D$1000,A85,'Input Movement'!$C$2:$C$1000,"Stok masuk"))</f>
        <v/>
      </c>
      <c r="E85" s="15" t="str">
        <f>IF(A85="","",SUMIFS('Input Movement'!$F$2:$F$1000,'Input Movement'!$D$2:$D$1000,A85,'Input Movement'!$C$2:$C$1000,"Stok keluar"))</f>
        <v/>
      </c>
      <c r="F85" s="15" t="str">
        <f>IF(A85="","",SUMIFS('Input Movement'!$F$2:$F$1000,'Input Movement'!$D$2:$D$1000,A85,'Input Movement'!$C$2:$C$1000,"Adjustment"))</f>
        <v/>
      </c>
      <c r="G85" s="16" t="str">
        <f t="shared" si="2"/>
        <v/>
      </c>
    </row>
    <row r="86" spans="1:7" x14ac:dyDescent="0.3">
      <c r="A86" s="14" t="str">
        <f>IF('Master Produk'!A86="","",'Master Produk'!A86)</f>
        <v/>
      </c>
      <c r="B86" s="14" t="str">
        <f>IF(A86="","",'Master Produk'!B86)</f>
        <v/>
      </c>
      <c r="C86" s="15" t="str">
        <f>IF(A86="","",'Master Produk'!C86)</f>
        <v/>
      </c>
      <c r="D86" s="15" t="str">
        <f>IF(A86="","",SUMIFS('Input Movement'!$F$2:$F$1000,'Input Movement'!$D$2:$D$1000,A86,'Input Movement'!$C$2:$C$1000,"Stok masuk"))</f>
        <v/>
      </c>
      <c r="E86" s="15" t="str">
        <f>IF(A86="","",SUMIFS('Input Movement'!$F$2:$F$1000,'Input Movement'!$D$2:$D$1000,A86,'Input Movement'!$C$2:$C$1000,"Stok keluar"))</f>
        <v/>
      </c>
      <c r="F86" s="15" t="str">
        <f>IF(A86="","",SUMIFS('Input Movement'!$F$2:$F$1000,'Input Movement'!$D$2:$D$1000,A86,'Input Movement'!$C$2:$C$1000,"Adjustment"))</f>
        <v/>
      </c>
      <c r="G86" s="16" t="str">
        <f t="shared" si="2"/>
        <v/>
      </c>
    </row>
    <row r="87" spans="1:7" x14ac:dyDescent="0.3">
      <c r="A87" s="14" t="str">
        <f>IF('Master Produk'!A87="","",'Master Produk'!A87)</f>
        <v/>
      </c>
      <c r="B87" s="14" t="str">
        <f>IF(A87="","",'Master Produk'!B87)</f>
        <v/>
      </c>
      <c r="C87" s="15" t="str">
        <f>IF(A87="","",'Master Produk'!C87)</f>
        <v/>
      </c>
      <c r="D87" s="15" t="str">
        <f>IF(A87="","",SUMIFS('Input Movement'!$F$2:$F$1000,'Input Movement'!$D$2:$D$1000,A87,'Input Movement'!$C$2:$C$1000,"Stok masuk"))</f>
        <v/>
      </c>
      <c r="E87" s="15" t="str">
        <f>IF(A87="","",SUMIFS('Input Movement'!$F$2:$F$1000,'Input Movement'!$D$2:$D$1000,A87,'Input Movement'!$C$2:$C$1000,"Stok keluar"))</f>
        <v/>
      </c>
      <c r="F87" s="15" t="str">
        <f>IF(A87="","",SUMIFS('Input Movement'!$F$2:$F$1000,'Input Movement'!$D$2:$D$1000,A87,'Input Movement'!$C$2:$C$1000,"Adjustment"))</f>
        <v/>
      </c>
      <c r="G87" s="16" t="str">
        <f t="shared" si="2"/>
        <v/>
      </c>
    </row>
    <row r="88" spans="1:7" x14ac:dyDescent="0.3">
      <c r="A88" s="14" t="str">
        <f>IF('Master Produk'!A88="","",'Master Produk'!A88)</f>
        <v/>
      </c>
      <c r="B88" s="14" t="str">
        <f>IF(A88="","",'Master Produk'!B88)</f>
        <v/>
      </c>
      <c r="C88" s="15" t="str">
        <f>IF(A88="","",'Master Produk'!C88)</f>
        <v/>
      </c>
      <c r="D88" s="15" t="str">
        <f>IF(A88="","",SUMIFS('Input Movement'!$F$2:$F$1000,'Input Movement'!$D$2:$D$1000,A88,'Input Movement'!$C$2:$C$1000,"Stok masuk"))</f>
        <v/>
      </c>
      <c r="E88" s="15" t="str">
        <f>IF(A88="","",SUMIFS('Input Movement'!$F$2:$F$1000,'Input Movement'!$D$2:$D$1000,A88,'Input Movement'!$C$2:$C$1000,"Stok keluar"))</f>
        <v/>
      </c>
      <c r="F88" s="15" t="str">
        <f>IF(A88="","",SUMIFS('Input Movement'!$F$2:$F$1000,'Input Movement'!$D$2:$D$1000,A88,'Input Movement'!$C$2:$C$1000,"Adjustment"))</f>
        <v/>
      </c>
      <c r="G88" s="16" t="str">
        <f t="shared" si="2"/>
        <v/>
      </c>
    </row>
    <row r="89" spans="1:7" x14ac:dyDescent="0.3">
      <c r="A89" s="14" t="str">
        <f>IF('Master Produk'!A89="","",'Master Produk'!A89)</f>
        <v/>
      </c>
      <c r="B89" s="14" t="str">
        <f>IF(A89="","",'Master Produk'!B89)</f>
        <v/>
      </c>
      <c r="C89" s="15" t="str">
        <f>IF(A89="","",'Master Produk'!C89)</f>
        <v/>
      </c>
      <c r="D89" s="15" t="str">
        <f>IF(A89="","",SUMIFS('Input Movement'!$F$2:$F$1000,'Input Movement'!$D$2:$D$1000,A89,'Input Movement'!$C$2:$C$1000,"Stok masuk"))</f>
        <v/>
      </c>
      <c r="E89" s="15" t="str">
        <f>IF(A89="","",SUMIFS('Input Movement'!$F$2:$F$1000,'Input Movement'!$D$2:$D$1000,A89,'Input Movement'!$C$2:$C$1000,"Stok keluar"))</f>
        <v/>
      </c>
      <c r="F89" s="15" t="str">
        <f>IF(A89="","",SUMIFS('Input Movement'!$F$2:$F$1000,'Input Movement'!$D$2:$D$1000,A89,'Input Movement'!$C$2:$C$1000,"Adjustment"))</f>
        <v/>
      </c>
      <c r="G89" s="16" t="str">
        <f t="shared" si="2"/>
        <v/>
      </c>
    </row>
    <row r="90" spans="1:7" x14ac:dyDescent="0.3">
      <c r="A90" s="14" t="str">
        <f>IF('Master Produk'!A90="","",'Master Produk'!A90)</f>
        <v/>
      </c>
      <c r="B90" s="14" t="str">
        <f>IF(A90="","",'Master Produk'!B90)</f>
        <v/>
      </c>
      <c r="C90" s="15" t="str">
        <f>IF(A90="","",'Master Produk'!C90)</f>
        <v/>
      </c>
      <c r="D90" s="15" t="str">
        <f>IF(A90="","",SUMIFS('Input Movement'!$F$2:$F$1000,'Input Movement'!$D$2:$D$1000,A90,'Input Movement'!$C$2:$C$1000,"Stok masuk"))</f>
        <v/>
      </c>
      <c r="E90" s="15" t="str">
        <f>IF(A90="","",SUMIFS('Input Movement'!$F$2:$F$1000,'Input Movement'!$D$2:$D$1000,A90,'Input Movement'!$C$2:$C$1000,"Stok keluar"))</f>
        <v/>
      </c>
      <c r="F90" s="15" t="str">
        <f>IF(A90="","",SUMIFS('Input Movement'!$F$2:$F$1000,'Input Movement'!$D$2:$D$1000,A90,'Input Movement'!$C$2:$C$1000,"Adjustment"))</f>
        <v/>
      </c>
      <c r="G90" s="16" t="str">
        <f t="shared" si="2"/>
        <v/>
      </c>
    </row>
    <row r="91" spans="1:7" x14ac:dyDescent="0.3">
      <c r="A91" s="14" t="str">
        <f>IF('Master Produk'!A91="","",'Master Produk'!A91)</f>
        <v/>
      </c>
      <c r="B91" s="14" t="str">
        <f>IF(A91="","",'Master Produk'!B91)</f>
        <v/>
      </c>
      <c r="C91" s="15" t="str">
        <f>IF(A91="","",'Master Produk'!C91)</f>
        <v/>
      </c>
      <c r="D91" s="15" t="str">
        <f>IF(A91="","",SUMIFS('Input Movement'!$F$2:$F$1000,'Input Movement'!$D$2:$D$1000,A91,'Input Movement'!$C$2:$C$1000,"Stok masuk"))</f>
        <v/>
      </c>
      <c r="E91" s="15" t="str">
        <f>IF(A91="","",SUMIFS('Input Movement'!$F$2:$F$1000,'Input Movement'!$D$2:$D$1000,A91,'Input Movement'!$C$2:$C$1000,"Stok keluar"))</f>
        <v/>
      </c>
      <c r="F91" s="15" t="str">
        <f>IF(A91="","",SUMIFS('Input Movement'!$F$2:$F$1000,'Input Movement'!$D$2:$D$1000,A91,'Input Movement'!$C$2:$C$1000,"Adjustment"))</f>
        <v/>
      </c>
      <c r="G91" s="16" t="str">
        <f t="shared" si="2"/>
        <v/>
      </c>
    </row>
    <row r="92" spans="1:7" x14ac:dyDescent="0.3">
      <c r="A92" s="14" t="str">
        <f>IF('Master Produk'!A92="","",'Master Produk'!A92)</f>
        <v/>
      </c>
      <c r="B92" s="14" t="str">
        <f>IF(A92="","",'Master Produk'!B92)</f>
        <v/>
      </c>
      <c r="C92" s="15" t="str">
        <f>IF(A92="","",'Master Produk'!C92)</f>
        <v/>
      </c>
      <c r="D92" s="15" t="str">
        <f>IF(A92="","",SUMIFS('Input Movement'!$F$2:$F$1000,'Input Movement'!$D$2:$D$1000,A92,'Input Movement'!$C$2:$C$1000,"Stok masuk"))</f>
        <v/>
      </c>
      <c r="E92" s="15" t="str">
        <f>IF(A92="","",SUMIFS('Input Movement'!$F$2:$F$1000,'Input Movement'!$D$2:$D$1000,A92,'Input Movement'!$C$2:$C$1000,"Stok keluar"))</f>
        <v/>
      </c>
      <c r="F92" s="15" t="str">
        <f>IF(A92="","",SUMIFS('Input Movement'!$F$2:$F$1000,'Input Movement'!$D$2:$D$1000,A92,'Input Movement'!$C$2:$C$1000,"Adjustment"))</f>
        <v/>
      </c>
      <c r="G92" s="16" t="str">
        <f t="shared" si="2"/>
        <v/>
      </c>
    </row>
    <row r="93" spans="1:7" x14ac:dyDescent="0.3">
      <c r="A93" s="14" t="str">
        <f>IF('Master Produk'!A93="","",'Master Produk'!A93)</f>
        <v/>
      </c>
      <c r="B93" s="14" t="str">
        <f>IF(A93="","",'Master Produk'!B93)</f>
        <v/>
      </c>
      <c r="C93" s="15" t="str">
        <f>IF(A93="","",'Master Produk'!C93)</f>
        <v/>
      </c>
      <c r="D93" s="15" t="str">
        <f>IF(A93="","",SUMIFS('Input Movement'!$F$2:$F$1000,'Input Movement'!$D$2:$D$1000,A93,'Input Movement'!$C$2:$C$1000,"Stok masuk"))</f>
        <v/>
      </c>
      <c r="E93" s="15" t="str">
        <f>IF(A93="","",SUMIFS('Input Movement'!$F$2:$F$1000,'Input Movement'!$D$2:$D$1000,A93,'Input Movement'!$C$2:$C$1000,"Stok keluar"))</f>
        <v/>
      </c>
      <c r="F93" s="15" t="str">
        <f>IF(A93="","",SUMIFS('Input Movement'!$F$2:$F$1000,'Input Movement'!$D$2:$D$1000,A93,'Input Movement'!$C$2:$C$1000,"Adjustment"))</f>
        <v/>
      </c>
      <c r="G93" s="16" t="str">
        <f t="shared" si="2"/>
        <v/>
      </c>
    </row>
    <row r="94" spans="1:7" x14ac:dyDescent="0.3">
      <c r="A94" s="14" t="str">
        <f>IF('Master Produk'!A94="","",'Master Produk'!A94)</f>
        <v/>
      </c>
      <c r="B94" s="14" t="str">
        <f>IF(A94="","",'Master Produk'!B94)</f>
        <v/>
      </c>
      <c r="C94" s="15" t="str">
        <f>IF(A94="","",'Master Produk'!C94)</f>
        <v/>
      </c>
      <c r="D94" s="15" t="str">
        <f>IF(A94="","",SUMIFS('Input Movement'!$F$2:$F$1000,'Input Movement'!$D$2:$D$1000,A94,'Input Movement'!$C$2:$C$1000,"Stok masuk"))</f>
        <v/>
      </c>
      <c r="E94" s="15" t="str">
        <f>IF(A94="","",SUMIFS('Input Movement'!$F$2:$F$1000,'Input Movement'!$D$2:$D$1000,A94,'Input Movement'!$C$2:$C$1000,"Stok keluar"))</f>
        <v/>
      </c>
      <c r="F94" s="15" t="str">
        <f>IF(A94="","",SUMIFS('Input Movement'!$F$2:$F$1000,'Input Movement'!$D$2:$D$1000,A94,'Input Movement'!$C$2:$C$1000,"Adjustment"))</f>
        <v/>
      </c>
      <c r="G94" s="16" t="str">
        <f t="shared" si="2"/>
        <v/>
      </c>
    </row>
    <row r="95" spans="1:7" x14ac:dyDescent="0.3">
      <c r="A95" s="14" t="str">
        <f>IF('Master Produk'!A95="","",'Master Produk'!A95)</f>
        <v/>
      </c>
      <c r="B95" s="14" t="str">
        <f>IF(A95="","",'Master Produk'!B95)</f>
        <v/>
      </c>
      <c r="C95" s="15" t="str">
        <f>IF(A95="","",'Master Produk'!C95)</f>
        <v/>
      </c>
      <c r="D95" s="15" t="str">
        <f>IF(A95="","",SUMIFS('Input Movement'!$F$2:$F$1000,'Input Movement'!$D$2:$D$1000,A95,'Input Movement'!$C$2:$C$1000,"Stok masuk"))</f>
        <v/>
      </c>
      <c r="E95" s="15" t="str">
        <f>IF(A95="","",SUMIFS('Input Movement'!$F$2:$F$1000,'Input Movement'!$D$2:$D$1000,A95,'Input Movement'!$C$2:$C$1000,"Stok keluar"))</f>
        <v/>
      </c>
      <c r="F95" s="15" t="str">
        <f>IF(A95="","",SUMIFS('Input Movement'!$F$2:$F$1000,'Input Movement'!$D$2:$D$1000,A95,'Input Movement'!$C$2:$C$1000,"Adjustment"))</f>
        <v/>
      </c>
      <c r="G95" s="16" t="str">
        <f t="shared" si="2"/>
        <v/>
      </c>
    </row>
    <row r="96" spans="1:7" x14ac:dyDescent="0.3">
      <c r="A96" s="14" t="str">
        <f>IF('Master Produk'!A96="","",'Master Produk'!A96)</f>
        <v/>
      </c>
      <c r="B96" s="14" t="str">
        <f>IF(A96="","",'Master Produk'!B96)</f>
        <v/>
      </c>
      <c r="C96" s="15" t="str">
        <f>IF(A96="","",'Master Produk'!C96)</f>
        <v/>
      </c>
      <c r="D96" s="15" t="str">
        <f>IF(A96="","",SUMIFS('Input Movement'!$F$2:$F$1000,'Input Movement'!$D$2:$D$1000,A96,'Input Movement'!$C$2:$C$1000,"Stok masuk"))</f>
        <v/>
      </c>
      <c r="E96" s="15" t="str">
        <f>IF(A96="","",SUMIFS('Input Movement'!$F$2:$F$1000,'Input Movement'!$D$2:$D$1000,A96,'Input Movement'!$C$2:$C$1000,"Stok keluar"))</f>
        <v/>
      </c>
      <c r="F96" s="15" t="str">
        <f>IF(A96="","",SUMIFS('Input Movement'!$F$2:$F$1000,'Input Movement'!$D$2:$D$1000,A96,'Input Movement'!$C$2:$C$1000,"Adjustment"))</f>
        <v/>
      </c>
      <c r="G96" s="16" t="str">
        <f t="shared" si="2"/>
        <v/>
      </c>
    </row>
    <row r="97" spans="1:7" x14ac:dyDescent="0.3">
      <c r="A97" s="14" t="str">
        <f>IF('Master Produk'!A97="","",'Master Produk'!A97)</f>
        <v/>
      </c>
      <c r="B97" s="14" t="str">
        <f>IF(A97="","",'Master Produk'!B97)</f>
        <v/>
      </c>
      <c r="C97" s="15" t="str">
        <f>IF(A97="","",'Master Produk'!C97)</f>
        <v/>
      </c>
      <c r="D97" s="15" t="str">
        <f>IF(A97="","",SUMIFS('Input Movement'!$F$2:$F$1000,'Input Movement'!$D$2:$D$1000,A97,'Input Movement'!$C$2:$C$1000,"Stok masuk"))</f>
        <v/>
      </c>
      <c r="E97" s="15" t="str">
        <f>IF(A97="","",SUMIFS('Input Movement'!$F$2:$F$1000,'Input Movement'!$D$2:$D$1000,A97,'Input Movement'!$C$2:$C$1000,"Stok keluar"))</f>
        <v/>
      </c>
      <c r="F97" s="15" t="str">
        <f>IF(A97="","",SUMIFS('Input Movement'!$F$2:$F$1000,'Input Movement'!$D$2:$D$1000,A97,'Input Movement'!$C$2:$C$1000,"Adjustment"))</f>
        <v/>
      </c>
      <c r="G97" s="16" t="str">
        <f t="shared" si="2"/>
        <v/>
      </c>
    </row>
    <row r="98" spans="1:7" x14ac:dyDescent="0.3">
      <c r="A98" s="14" t="str">
        <f>IF('Master Produk'!A98="","",'Master Produk'!A98)</f>
        <v/>
      </c>
      <c r="B98" s="14" t="str">
        <f>IF(A98="","",'Master Produk'!B98)</f>
        <v/>
      </c>
      <c r="C98" s="15" t="str">
        <f>IF(A98="","",'Master Produk'!C98)</f>
        <v/>
      </c>
      <c r="D98" s="15" t="str">
        <f>IF(A98="","",SUMIFS('Input Movement'!$F$2:$F$1000,'Input Movement'!$D$2:$D$1000,A98,'Input Movement'!$C$2:$C$1000,"Stok masuk"))</f>
        <v/>
      </c>
      <c r="E98" s="15" t="str">
        <f>IF(A98="","",SUMIFS('Input Movement'!$F$2:$F$1000,'Input Movement'!$D$2:$D$1000,A98,'Input Movement'!$C$2:$C$1000,"Stok keluar"))</f>
        <v/>
      </c>
      <c r="F98" s="15" t="str">
        <f>IF(A98="","",SUMIFS('Input Movement'!$F$2:$F$1000,'Input Movement'!$D$2:$D$1000,A98,'Input Movement'!$C$2:$C$1000,"Adjustment"))</f>
        <v/>
      </c>
      <c r="G98" s="16" t="str">
        <f t="shared" ref="G98:G129" si="3">IF(A98="","",C98+D98+E98+F98)</f>
        <v/>
      </c>
    </row>
    <row r="99" spans="1:7" x14ac:dyDescent="0.3">
      <c r="A99" s="14" t="str">
        <f>IF('Master Produk'!A99="","",'Master Produk'!A99)</f>
        <v/>
      </c>
      <c r="B99" s="14" t="str">
        <f>IF(A99="","",'Master Produk'!B99)</f>
        <v/>
      </c>
      <c r="C99" s="15" t="str">
        <f>IF(A99="","",'Master Produk'!C99)</f>
        <v/>
      </c>
      <c r="D99" s="15" t="str">
        <f>IF(A99="","",SUMIFS('Input Movement'!$F$2:$F$1000,'Input Movement'!$D$2:$D$1000,A99,'Input Movement'!$C$2:$C$1000,"Stok masuk"))</f>
        <v/>
      </c>
      <c r="E99" s="15" t="str">
        <f>IF(A99="","",SUMIFS('Input Movement'!$F$2:$F$1000,'Input Movement'!$D$2:$D$1000,A99,'Input Movement'!$C$2:$C$1000,"Stok keluar"))</f>
        <v/>
      </c>
      <c r="F99" s="15" t="str">
        <f>IF(A99="","",SUMIFS('Input Movement'!$F$2:$F$1000,'Input Movement'!$D$2:$D$1000,A99,'Input Movement'!$C$2:$C$1000,"Adjustment"))</f>
        <v/>
      </c>
      <c r="G99" s="16" t="str">
        <f t="shared" si="3"/>
        <v/>
      </c>
    </row>
    <row r="100" spans="1:7" x14ac:dyDescent="0.3">
      <c r="A100" s="14" t="str">
        <f>IF('Master Produk'!A100="","",'Master Produk'!A100)</f>
        <v/>
      </c>
      <c r="B100" s="14" t="str">
        <f>IF(A100="","",'Master Produk'!B100)</f>
        <v/>
      </c>
      <c r="C100" s="15" t="str">
        <f>IF(A100="","",'Master Produk'!C100)</f>
        <v/>
      </c>
      <c r="D100" s="15" t="str">
        <f>IF(A100="","",SUMIFS('Input Movement'!$F$2:$F$1000,'Input Movement'!$D$2:$D$1000,A100,'Input Movement'!$C$2:$C$1000,"Stok masuk"))</f>
        <v/>
      </c>
      <c r="E100" s="15" t="str">
        <f>IF(A100="","",SUMIFS('Input Movement'!$F$2:$F$1000,'Input Movement'!$D$2:$D$1000,A100,'Input Movement'!$C$2:$C$1000,"Stok keluar"))</f>
        <v/>
      </c>
      <c r="F100" s="15" t="str">
        <f>IF(A100="","",SUMIFS('Input Movement'!$F$2:$F$1000,'Input Movement'!$D$2:$D$1000,A100,'Input Movement'!$C$2:$C$1000,"Adjustment"))</f>
        <v/>
      </c>
      <c r="G100" s="16" t="str">
        <f t="shared" si="3"/>
        <v/>
      </c>
    </row>
    <row r="101" spans="1:7" x14ac:dyDescent="0.3">
      <c r="A101" s="14" t="str">
        <f>IF('Master Produk'!A101="","",'Master Produk'!A101)</f>
        <v/>
      </c>
      <c r="B101" s="14" t="str">
        <f>IF(A101="","",'Master Produk'!B101)</f>
        <v/>
      </c>
      <c r="C101" s="15" t="str">
        <f>IF(A101="","",'Master Produk'!C101)</f>
        <v/>
      </c>
      <c r="D101" s="15" t="str">
        <f>IF(A101="","",SUMIFS('Input Movement'!$F$2:$F$1000,'Input Movement'!$D$2:$D$1000,A101,'Input Movement'!$C$2:$C$1000,"Stok masuk"))</f>
        <v/>
      </c>
      <c r="E101" s="15" t="str">
        <f>IF(A101="","",SUMIFS('Input Movement'!$F$2:$F$1000,'Input Movement'!$D$2:$D$1000,A101,'Input Movement'!$C$2:$C$1000,"Stok keluar"))</f>
        <v/>
      </c>
      <c r="F101" s="15" t="str">
        <f>IF(A101="","",SUMIFS('Input Movement'!$F$2:$F$1000,'Input Movement'!$D$2:$D$1000,A101,'Input Movement'!$C$2:$C$1000,"Adjustment"))</f>
        <v/>
      </c>
      <c r="G101" s="16" t="str">
        <f t="shared" si="3"/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8"/>
  <sheetViews>
    <sheetView zoomScaleNormal="100" workbookViewId="0">
      <pane ySplit="1" topLeftCell="A2" activePane="bottomLeft" state="frozen"/>
      <selection pane="bottomLeft" activeCell="J16" sqref="J16"/>
    </sheetView>
  </sheetViews>
  <sheetFormatPr defaultColWidth="8.6640625" defaultRowHeight="14.4" x14ac:dyDescent="0.3"/>
  <cols>
    <col min="1" max="1" width="12" customWidth="1"/>
    <col min="2" max="2" width="20" customWidth="1"/>
    <col min="3" max="3" width="14" customWidth="1"/>
    <col min="4" max="4" width="10" customWidth="1"/>
    <col min="5" max="5" width="14" customWidth="1"/>
    <col min="6" max="6" width="16" customWidth="1"/>
    <col min="7" max="8" width="12" customWidth="1"/>
    <col min="9" max="9" width="34" customWidth="1"/>
    <col min="10" max="10" width="14" customWidth="1"/>
  </cols>
  <sheetData>
    <row r="1" spans="1:10" x14ac:dyDescent="0.3">
      <c r="A1" s="4" t="s">
        <v>24</v>
      </c>
      <c r="B1" s="4" t="s">
        <v>25</v>
      </c>
      <c r="C1" s="4" t="s">
        <v>26</v>
      </c>
      <c r="D1" s="4" t="s">
        <v>17</v>
      </c>
      <c r="E1" s="4" t="s">
        <v>18</v>
      </c>
      <c r="F1" s="4" t="s">
        <v>27</v>
      </c>
      <c r="G1" s="4" t="s">
        <v>28</v>
      </c>
      <c r="H1" s="4" t="s">
        <v>29</v>
      </c>
      <c r="I1" s="4" t="s">
        <v>12</v>
      </c>
      <c r="J1" s="4" t="s">
        <v>30</v>
      </c>
    </row>
    <row r="2" spans="1:10" x14ac:dyDescent="0.3">
      <c r="A2" s="14">
        <v>15</v>
      </c>
      <c r="B2" s="17">
        <v>46310.306944444397</v>
      </c>
      <c r="C2" s="14" t="s">
        <v>32</v>
      </c>
      <c r="D2" s="14" t="s">
        <v>20</v>
      </c>
      <c r="E2" s="14" t="s">
        <v>21</v>
      </c>
      <c r="F2" s="14">
        <v>-1</v>
      </c>
      <c r="G2" s="14">
        <v>5</v>
      </c>
      <c r="H2" s="14">
        <v>4</v>
      </c>
      <c r="I2" s="14" t="s">
        <v>33</v>
      </c>
      <c r="J2" s="14" t="s">
        <v>34</v>
      </c>
    </row>
    <row r="3" spans="1:10" x14ac:dyDescent="0.3">
      <c r="A3" s="14">
        <v>14</v>
      </c>
      <c r="B3" s="17">
        <v>46310.306944444397</v>
      </c>
      <c r="C3" s="14" t="s">
        <v>32</v>
      </c>
      <c r="D3" s="14" t="s">
        <v>22</v>
      </c>
      <c r="E3" s="14" t="s">
        <v>23</v>
      </c>
      <c r="F3" s="14">
        <v>-1</v>
      </c>
      <c r="G3" s="14">
        <v>17</v>
      </c>
      <c r="H3" s="14">
        <v>16</v>
      </c>
      <c r="I3" s="14" t="s">
        <v>33</v>
      </c>
      <c r="J3" s="14" t="s">
        <v>34</v>
      </c>
    </row>
    <row r="4" spans="1:10" x14ac:dyDescent="0.3">
      <c r="A4" s="14">
        <v>13</v>
      </c>
      <c r="B4" s="17">
        <v>46308.620138888902</v>
      </c>
      <c r="C4" s="14" t="s">
        <v>39</v>
      </c>
      <c r="D4" s="14" t="s">
        <v>20</v>
      </c>
      <c r="E4" s="14" t="s">
        <v>21</v>
      </c>
      <c r="F4" s="14">
        <v>-17</v>
      </c>
      <c r="G4" s="14">
        <v>21</v>
      </c>
      <c r="H4" s="14">
        <v>4</v>
      </c>
      <c r="I4" s="14" t="s">
        <v>40</v>
      </c>
      <c r="J4" s="14" t="s">
        <v>34</v>
      </c>
    </row>
    <row r="5" spans="1:10" x14ac:dyDescent="0.3">
      <c r="A5" s="14">
        <v>12</v>
      </c>
      <c r="B5" s="17">
        <v>46307.918055555601</v>
      </c>
      <c r="C5" s="14" t="s">
        <v>39</v>
      </c>
      <c r="D5" s="14" t="s">
        <v>20</v>
      </c>
      <c r="E5" s="14" t="s">
        <v>21</v>
      </c>
      <c r="F5" s="14">
        <v>2</v>
      </c>
      <c r="G5" s="14">
        <v>2</v>
      </c>
      <c r="H5" s="14">
        <v>4</v>
      </c>
      <c r="I5" s="14" t="s">
        <v>41</v>
      </c>
      <c r="J5" s="14" t="s">
        <v>42</v>
      </c>
    </row>
    <row r="6" spans="1:10" x14ac:dyDescent="0.3">
      <c r="A6" s="14">
        <v>11</v>
      </c>
      <c r="B6" s="17">
        <v>46307.914583333302</v>
      </c>
      <c r="C6" s="14" t="s">
        <v>39</v>
      </c>
      <c r="D6" s="14" t="s">
        <v>20</v>
      </c>
      <c r="E6" s="14" t="s">
        <v>21</v>
      </c>
      <c r="F6" s="14">
        <v>-5</v>
      </c>
      <c r="G6" s="14">
        <v>9</v>
      </c>
      <c r="H6" s="14">
        <v>4</v>
      </c>
      <c r="I6" s="14" t="s">
        <v>33</v>
      </c>
      <c r="J6" s="14" t="s">
        <v>42</v>
      </c>
    </row>
    <row r="7" spans="1:10" x14ac:dyDescent="0.3">
      <c r="A7" s="14">
        <v>10</v>
      </c>
      <c r="B7" s="17">
        <v>46307.911111111098</v>
      </c>
      <c r="C7" s="14" t="s">
        <v>39</v>
      </c>
      <c r="D7" s="14" t="s">
        <v>20</v>
      </c>
      <c r="E7" s="14" t="s">
        <v>21</v>
      </c>
      <c r="F7" s="14">
        <v>-5</v>
      </c>
      <c r="G7" s="14">
        <v>9</v>
      </c>
      <c r="H7" s="14">
        <v>4</v>
      </c>
      <c r="I7" s="14" t="s">
        <v>33</v>
      </c>
      <c r="J7" s="14"/>
    </row>
    <row r="8" spans="1:10" x14ac:dyDescent="0.3">
      <c r="A8" s="14">
        <v>9</v>
      </c>
      <c r="B8" s="17">
        <v>46307.890972222202</v>
      </c>
      <c r="C8" s="14" t="s">
        <v>39</v>
      </c>
      <c r="D8" s="14" t="s">
        <v>20</v>
      </c>
      <c r="E8" s="14" t="s">
        <v>21</v>
      </c>
      <c r="F8" s="14">
        <v>5</v>
      </c>
      <c r="G8" s="14">
        <v>-1</v>
      </c>
      <c r="H8" s="14">
        <v>4</v>
      </c>
      <c r="I8" s="14" t="s">
        <v>41</v>
      </c>
      <c r="J8" s="14"/>
    </row>
    <row r="9" spans="1:10" x14ac:dyDescent="0.3">
      <c r="A9" s="14">
        <v>8</v>
      </c>
      <c r="B9" s="17">
        <v>46306.027083333298</v>
      </c>
      <c r="C9" s="14" t="s">
        <v>32</v>
      </c>
      <c r="D9" s="14" t="s">
        <v>20</v>
      </c>
      <c r="E9" s="14" t="s">
        <v>21</v>
      </c>
      <c r="F9" s="14">
        <v>-2</v>
      </c>
      <c r="G9" s="14">
        <v>6</v>
      </c>
      <c r="H9" s="14">
        <v>4</v>
      </c>
      <c r="I9" s="14" t="s">
        <v>33</v>
      </c>
      <c r="J9" s="14"/>
    </row>
    <row r="10" spans="1:10" x14ac:dyDescent="0.3">
      <c r="A10" s="14">
        <v>7</v>
      </c>
      <c r="B10" s="17">
        <v>46305.976388888899</v>
      </c>
      <c r="C10" s="14" t="s">
        <v>39</v>
      </c>
      <c r="D10" s="14" t="s">
        <v>20</v>
      </c>
      <c r="E10" s="14" t="s">
        <v>21</v>
      </c>
      <c r="F10" s="14">
        <v>-3</v>
      </c>
      <c r="G10" s="14">
        <v>7</v>
      </c>
      <c r="H10" s="14">
        <v>4</v>
      </c>
      <c r="I10" s="14" t="s">
        <v>43</v>
      </c>
      <c r="J10" s="14"/>
    </row>
    <row r="11" spans="1:10" x14ac:dyDescent="0.3">
      <c r="A11" s="14">
        <v>6</v>
      </c>
      <c r="B11" s="17">
        <v>46302.906944444498</v>
      </c>
      <c r="C11" s="14" t="s">
        <v>39</v>
      </c>
      <c r="D11" s="14" t="s">
        <v>20</v>
      </c>
      <c r="E11" s="14" t="s">
        <v>21</v>
      </c>
      <c r="F11" s="14">
        <v>20</v>
      </c>
      <c r="G11" s="14">
        <v>-16</v>
      </c>
      <c r="H11" s="14">
        <v>4</v>
      </c>
      <c r="I11" s="14" t="s">
        <v>44</v>
      </c>
      <c r="J11" s="14"/>
    </row>
    <row r="12" spans="1:10" x14ac:dyDescent="0.3">
      <c r="A12" s="14">
        <v>5</v>
      </c>
      <c r="B12" s="17">
        <v>46302.906944444498</v>
      </c>
      <c r="C12" s="14" t="s">
        <v>39</v>
      </c>
      <c r="D12" s="14" t="s">
        <v>20</v>
      </c>
      <c r="E12" s="14" t="s">
        <v>21</v>
      </c>
      <c r="F12" s="14">
        <v>-15</v>
      </c>
      <c r="G12" s="14">
        <v>19</v>
      </c>
      <c r="H12" s="14">
        <v>4</v>
      </c>
      <c r="I12" s="14" t="s">
        <v>45</v>
      </c>
      <c r="J12" s="14"/>
    </row>
    <row r="13" spans="1:10" x14ac:dyDescent="0.3">
      <c r="A13" s="14">
        <v>4</v>
      </c>
      <c r="B13" s="17">
        <v>46302.902777777803</v>
      </c>
      <c r="C13" s="14" t="s">
        <v>32</v>
      </c>
      <c r="D13" s="14" t="s">
        <v>20</v>
      </c>
      <c r="E13" s="14" t="s">
        <v>21</v>
      </c>
      <c r="F13" s="14">
        <v>-15</v>
      </c>
      <c r="G13" s="14">
        <v>19</v>
      </c>
      <c r="H13" s="14">
        <v>4</v>
      </c>
      <c r="I13" s="14" t="s">
        <v>46</v>
      </c>
      <c r="J13" s="14"/>
    </row>
    <row r="14" spans="1:10" x14ac:dyDescent="0.3">
      <c r="A14" s="14">
        <v>3</v>
      </c>
      <c r="B14" s="17">
        <v>46302.902083333298</v>
      </c>
      <c r="C14" s="14" t="s">
        <v>47</v>
      </c>
      <c r="D14" s="14" t="s">
        <v>20</v>
      </c>
      <c r="E14" s="14" t="s">
        <v>21</v>
      </c>
      <c r="F14" s="14">
        <v>10</v>
      </c>
      <c r="G14" s="14">
        <v>-6</v>
      </c>
      <c r="H14" s="14">
        <v>4</v>
      </c>
      <c r="I14" s="14" t="s">
        <v>48</v>
      </c>
      <c r="J14" s="14"/>
    </row>
    <row r="15" spans="1:10" x14ac:dyDescent="0.3">
      <c r="A15" s="14">
        <v>2</v>
      </c>
      <c r="B15" s="17">
        <v>46302.897916666698</v>
      </c>
      <c r="C15" s="14" t="s">
        <v>32</v>
      </c>
      <c r="D15" s="14" t="s">
        <v>20</v>
      </c>
      <c r="E15" s="14" t="s">
        <v>21</v>
      </c>
      <c r="F15" s="14">
        <v>-5</v>
      </c>
      <c r="G15" s="14">
        <v>9</v>
      </c>
      <c r="H15" s="14">
        <v>4</v>
      </c>
      <c r="I15" s="14" t="s">
        <v>46</v>
      </c>
      <c r="J15" s="14"/>
    </row>
    <row r="16" spans="1:10" x14ac:dyDescent="0.3">
      <c r="A16" s="14">
        <v>1</v>
      </c>
      <c r="B16" s="17">
        <v>46302.895833333299</v>
      </c>
      <c r="C16" s="14" t="s">
        <v>47</v>
      </c>
      <c r="D16" s="14" t="s">
        <v>20</v>
      </c>
      <c r="E16" s="14" t="s">
        <v>21</v>
      </c>
      <c r="F16" s="14">
        <v>10</v>
      </c>
      <c r="G16" s="14">
        <v>-6</v>
      </c>
      <c r="H16" s="14">
        <v>4</v>
      </c>
      <c r="I16" s="14" t="s">
        <v>49</v>
      </c>
      <c r="J16" s="14"/>
    </row>
    <row r="18" spans="1:1" x14ac:dyDescent="0.3">
      <c r="A18" s="18" t="s">
        <v>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Petunjuk</vt:lpstr>
      <vt:lpstr>Master Produk</vt:lpstr>
      <vt:lpstr>Input Movement</vt:lpstr>
      <vt:lpstr>Ringkasan Stok</vt:lpstr>
      <vt:lpstr>Contoh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Yoga Subhi Salam</cp:lastModifiedBy>
  <cp:revision>0</cp:revision>
  <dcterms:created xsi:type="dcterms:W3CDTF">2026-10-15T00:42:49Z</dcterms:created>
  <dcterms:modified xsi:type="dcterms:W3CDTF">2026-10-15T00:45:44Z</dcterms:modified>
  <dc:language>en-US</dc:language>
</cp:coreProperties>
</file>